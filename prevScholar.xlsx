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25"/>
  <workbookPr/>
  <mc:AlternateContent xmlns:mc="http://schemas.openxmlformats.org/markup-compatibility/2006">
    <mc:Choice Requires="x15">
      <x15ac:absPath xmlns:x15ac="http://schemas.microsoft.com/office/spreadsheetml/2010/11/ac" url="https://pennstateoffice365-my.sharepoint.com/personal/rjn5308_psu_edu/Documents/committees/besure/2021/"/>
    </mc:Choice>
  </mc:AlternateContent>
  <xr:revisionPtr revIDLastSave="0" documentId="8_{51A86C35-E394-47EF-9FCE-09D6FE7E94EF}" xr6:coauthVersionLast="47" xr6:coauthVersionMax="47" xr10:uidLastSave="{00000000-0000-0000-0000-000000000000}"/>
  <bookViews>
    <workbookView xWindow="34400" yWindow="14400" windowWidth="34400" windowHeight="14400" xr2:uid="{00000000-000D-0000-FFFF-FFFF00000000}"/>
  </bookViews>
  <sheets>
    <sheet name="F26_sp27" sheetId="13" r:id="rId1"/>
    <sheet name="summer26" sheetId="14" r:id="rId2"/>
    <sheet name="F25_Sp26" sheetId="12" r:id="rId3"/>
    <sheet name="summer25" sheetId="11" r:id="rId4"/>
    <sheet name="F24_Sp25" sheetId="10" r:id="rId5"/>
    <sheet name="summer 2024" sheetId="9" r:id="rId6"/>
    <sheet name="F23_Sp24" sheetId="8" r:id="rId7"/>
    <sheet name="Summer 2023" sheetId="7" r:id="rId8"/>
    <sheet name="AY 2022" sheetId="6" r:id="rId9"/>
    <sheet name="Summer 2022" sheetId="5" r:id="rId10"/>
    <sheet name="F2021 Start" sheetId="1" r:id="rId11"/>
    <sheet name="F2021 End" sheetId="3" r:id="rId12"/>
    <sheet name="nsf grfp apps" sheetId="4" r:id="rId13"/>
    <sheet name="_56F9DC9755BA473782653E2940F9" sheetId="2" state="veryHidden" r:id="rId14"/>
  </sheets>
  <definedNames>
    <definedName name="_56F9DC9755BA473782653E2940F9FormId">"RY30fNs9iUOpwcEVUm61LiTAEOSov5hCufAPKVUg4ytUNTdJWTBSRFpRNVExOEJNVVJSVzJOMzc0TSQlQCN0PWcu"</definedName>
    <definedName name="_56F9DC9755BA473782653E2940F9ResponseSheet">"Form1"</definedName>
    <definedName name="_56F9DC9755BA473782653E2940F9SourceDocId">"{1c1e9678-9bc1-42ff-8157-bfa7d940da42}"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8" i="14" l="1"/>
  <c r="L18" i="14"/>
  <c r="M18" i="14"/>
  <c r="K17" i="14"/>
  <c r="L17" i="14"/>
  <c r="M17" i="14"/>
  <c r="K16" i="14"/>
  <c r="L16" i="14"/>
  <c r="M16" i="14"/>
  <c r="K3" i="14"/>
  <c r="L3" i="14"/>
  <c r="M3" i="14"/>
  <c r="K4" i="14"/>
  <c r="L4" i="14"/>
  <c r="M4" i="14"/>
  <c r="K5" i="14"/>
  <c r="L5" i="14"/>
  <c r="M5" i="14"/>
  <c r="K6" i="14"/>
  <c r="L6" i="14"/>
  <c r="M6" i="14"/>
  <c r="K7" i="14"/>
  <c r="L7" i="14"/>
  <c r="M7" i="14"/>
  <c r="K8" i="14"/>
  <c r="L8" i="14"/>
  <c r="M8" i="14"/>
  <c r="K9" i="14"/>
  <c r="L9" i="14"/>
  <c r="M9" i="14"/>
  <c r="K10" i="14"/>
  <c r="L10" i="14"/>
  <c r="M10" i="14"/>
  <c r="K11" i="14"/>
  <c r="L11" i="14"/>
  <c r="M11" i="14"/>
  <c r="K12" i="14"/>
  <c r="L12" i="14"/>
  <c r="M12" i="14"/>
  <c r="K13" i="14"/>
  <c r="L13" i="14"/>
  <c r="M13" i="14"/>
  <c r="K14" i="14"/>
  <c r="L14" i="14"/>
  <c r="M14" i="14"/>
  <c r="K15" i="14"/>
  <c r="L15" i="14"/>
  <c r="M15" i="14"/>
  <c r="K2" i="14"/>
  <c r="L2" i="14"/>
  <c r="M2" i="14"/>
  <c r="G49" i="6"/>
  <c r="E49" i="6"/>
  <c r="G48" i="6"/>
  <c r="E50" i="6"/>
  <c r="E44" i="6"/>
  <c r="G50" i="6"/>
  <c r="G42" i="6"/>
  <c r="G43" i="6"/>
  <c r="G44" i="6"/>
  <c r="G45" i="6"/>
  <c r="G46" i="6"/>
  <c r="G47" i="6"/>
  <c r="E43" i="6"/>
  <c r="E45" i="6"/>
  <c r="E46" i="6"/>
  <c r="E47" i="6"/>
  <c r="E48" i="6"/>
  <c r="E42" i="6"/>
</calcChain>
</file>

<file path=xl/sharedStrings.xml><?xml version="1.0" encoding="utf-8"?>
<sst xmlns="http://schemas.openxmlformats.org/spreadsheetml/2006/main" count="1447" uniqueCount="512">
  <si>
    <t>student name</t>
  </si>
  <si>
    <t>adviser</t>
  </si>
  <si>
    <t>phd /post doc adviser</t>
  </si>
  <si>
    <t>notes</t>
  </si>
  <si>
    <t>fall funding</t>
  </si>
  <si>
    <t>spring funding</t>
  </si>
  <si>
    <t>abstract</t>
  </si>
  <si>
    <t>photograph</t>
  </si>
  <si>
    <t>started?</t>
  </si>
  <si>
    <t>ended?</t>
  </si>
  <si>
    <t>presented?</t>
  </si>
  <si>
    <t>nsf grfp applicant?</t>
  </si>
  <si>
    <t>conference grant?</t>
  </si>
  <si>
    <t>Mainali, Simrik</t>
  </si>
  <si>
    <t>Gevaudan</t>
  </si>
  <si>
    <t>started sp 26</t>
  </si>
  <si>
    <t>(120000000792) JP start up</t>
  </si>
  <si>
    <t>besure</t>
  </si>
  <si>
    <t>Nolan, Natalie</t>
  </si>
  <si>
    <t>DeBlasio, Ariana</t>
  </si>
  <si>
    <t>Morgan, Mackenzie</t>
  </si>
  <si>
    <t>Mariana Blanco</t>
  </si>
  <si>
    <t>Durmus</t>
  </si>
  <si>
    <t>Alp start up</t>
  </si>
  <si>
    <t>McNutt, Brooke</t>
  </si>
  <si>
    <t>Ashlyn Ferderbar</t>
  </si>
  <si>
    <t>Napolitano</t>
  </si>
  <si>
    <t>latrisha email sent</t>
  </si>
  <si>
    <t>ncptt?</t>
  </si>
  <si>
    <t>Brian Pianese</t>
  </si>
  <si>
    <t>nothing sent yet to latrisha</t>
  </si>
  <si>
    <t>hours per week</t>
  </si>
  <si>
    <t>weeks</t>
  </si>
  <si>
    <t>project</t>
  </si>
  <si>
    <t>may/june funding</t>
  </si>
  <si>
    <t>July / August funding</t>
  </si>
  <si>
    <t>hours total</t>
  </si>
  <si>
    <t>$ total</t>
  </si>
  <si>
    <t xml:space="preserve">$ grants </t>
  </si>
  <si>
    <t>brian pianese</t>
  </si>
  <si>
    <t>st louis tornado</t>
  </si>
  <si>
    <t>nap</t>
  </si>
  <si>
    <t>marcio</t>
  </si>
  <si>
    <t>NSF CISE</t>
  </si>
  <si>
    <t>brianna helmrich (st.louis)</t>
  </si>
  <si>
    <t>not yet assigned</t>
  </si>
  <si>
    <t>??</t>
  </si>
  <si>
    <t>500000026477 NSF HDR PSC funds</t>
  </si>
  <si>
    <t>Alexander garrison (st. louis)</t>
  </si>
  <si>
    <t>Nap</t>
  </si>
  <si>
    <t>yaadhavi venkatesan</t>
  </si>
  <si>
    <t>marshall nc</t>
  </si>
  <si>
    <t>violet motch</t>
  </si>
  <si>
    <t>micah shuford</t>
  </si>
  <si>
    <t>besure (bc brian full on cise)</t>
  </si>
  <si>
    <t>avery brainard</t>
  </si>
  <si>
    <t>Journey Lewonas-Gray</t>
  </si>
  <si>
    <t>carol</t>
  </si>
  <si>
    <t>owen stack</t>
  </si>
  <si>
    <t>montpelier</t>
  </si>
  <si>
    <t>Maria Rizoli</t>
  </si>
  <si>
    <t>Nicole Purnell</t>
  </si>
  <si>
    <t>July 6th - Aug 21st</t>
  </si>
  <si>
    <t>Grace Lundy</t>
  </si>
  <si>
    <t>Ava Platcher</t>
  </si>
  <si>
    <t>kaya zaleweski</t>
  </si>
  <si>
    <t>jhanvi venkitesh (montpelier)</t>
  </si>
  <si>
    <t>shayla hines</t>
  </si>
  <si>
    <t>becca</t>
  </si>
  <si>
    <t>evan mizer</t>
  </si>
  <si>
    <t>friehaut</t>
  </si>
  <si>
    <t>messaged</t>
  </si>
  <si>
    <t>jim paid for him all year so free for summer</t>
  </si>
  <si>
    <t>NCPTT 500000029940</t>
  </si>
  <si>
    <t>BESURE</t>
  </si>
  <si>
    <t>Shayla Hines</t>
  </si>
  <si>
    <t>napolitano</t>
  </si>
  <si>
    <t>Gianna Corbi</t>
  </si>
  <si>
    <t>Margaret Halbruner</t>
  </si>
  <si>
    <t>Andrew Miller</t>
  </si>
  <si>
    <t>Avery Brainard</t>
  </si>
  <si>
    <t>NASA</t>
  </si>
  <si>
    <t>Brooks Estadt</t>
  </si>
  <si>
    <t>Sangaa Chatterjee</t>
  </si>
  <si>
    <t>Hu</t>
  </si>
  <si>
    <t>"my nsf grant"</t>
  </si>
  <si>
    <t>Allison Bromirski</t>
  </si>
  <si>
    <t>Rim</t>
  </si>
  <si>
    <t>Grant ID/Name 108054 NSF CAREER: AN INTEGRATED RESEARCH AND EDUCATION FRAMEWORK</t>
  </si>
  <si>
    <t>Siddharth Jayakrishnan</t>
  </si>
  <si>
    <t>Wang</t>
  </si>
  <si>
    <t>500000007280</t>
  </si>
  <si>
    <t>Leah Marucci</t>
  </si>
  <si>
    <t>Wangda</t>
  </si>
  <si>
    <t>besure (Wangda wil cover all next year)</t>
  </si>
  <si>
    <t>Almila Meng</t>
  </si>
  <si>
    <t>besure (cover all next year)</t>
  </si>
  <si>
    <t>Yixi Wang</t>
  </si>
  <si>
    <t>Emma Kilgallon</t>
  </si>
  <si>
    <t>Greg</t>
  </si>
  <si>
    <r>
      <rPr>
        <sz val="12"/>
        <color rgb="FF212121"/>
        <rFont val="Aptos"/>
      </rPr>
      <t>GXP93 Pavlak RIF account (</t>
    </r>
    <r>
      <rPr>
        <sz val="12"/>
        <color rgb="FF000000"/>
        <rFont val="Aptos"/>
      </rPr>
      <t> IO 110000001903)</t>
    </r>
  </si>
  <si>
    <t>Abigail Erlich</t>
  </si>
  <si>
    <t>120000000792 (JP start up)</t>
  </si>
  <si>
    <t>Matthew Medrano</t>
  </si>
  <si>
    <t>Jacob Schlosser</t>
  </si>
  <si>
    <t>Ellen Talamo</t>
  </si>
  <si>
    <t>BESURe</t>
  </si>
  <si>
    <t>Grant ID/Name 108054 NSF CAREER: AN INTEGRATED RESEARCH AND EDUCATION FRAMEWORK</t>
  </si>
  <si>
    <t>Nick Pourhashemi</t>
  </si>
  <si>
    <t>Kiersten Ann Williams</t>
  </si>
  <si>
    <t>Brian Hunter Prezioso</t>
  </si>
  <si>
    <t>Adam Mukhriz Bin Muhammad</t>
  </si>
  <si>
    <t>Trisha Ghelani</t>
  </si>
  <si>
    <t>not on bc only 17; start in spring</t>
  </si>
  <si>
    <t>Sophia Iacovino</t>
  </si>
  <si>
    <t>Messner</t>
  </si>
  <si>
    <t>dropped bc time</t>
  </si>
  <si>
    <t>770000000444 AE - MATTS PROFESSORSHIP C MESSNER</t>
  </si>
  <si>
    <t>Mason Erling</t>
  </si>
  <si>
    <r>
      <t>Please charge to </t>
    </r>
    <r>
      <rPr>
        <b/>
        <i/>
        <sz val="11"/>
        <color rgb="FF212121"/>
        <rFont val="Aptos"/>
        <family val="2"/>
        <charset val="1"/>
      </rPr>
      <t>Account from Anand</t>
    </r>
  </si>
  <si>
    <t>John Kinsley</t>
  </si>
  <si>
    <t>Karran Deon Abraham</t>
  </si>
  <si>
    <t>150000004474</t>
  </si>
  <si>
    <t>Anjali Nair</t>
  </si>
  <si>
    <t>Brown</t>
  </si>
  <si>
    <t>Be sure</t>
  </si>
  <si>
    <t>Hannah Khoddam</t>
  </si>
  <si>
    <t>None</t>
  </si>
  <si>
    <t>BESURE (half and half with Aqueta)</t>
  </si>
  <si>
    <t>Nuckolls</t>
  </si>
  <si>
    <t>Chelsea Arqueta</t>
  </si>
  <si>
    <t>770000000444 AE - MATTS PROFESSORSHIP C MESSNER (half and half with Aqueta)</t>
  </si>
  <si>
    <t>NSF HDR</t>
  </si>
  <si>
    <t xml:space="preserve">napolitano </t>
  </si>
  <si>
    <t>Samuel Merife</t>
  </si>
  <si>
    <t>wen</t>
  </si>
  <si>
    <t>first half jin start up, second half besure</t>
  </si>
  <si>
    <t>Rutuj Kankaria</t>
  </si>
  <si>
    <t>BESURE (half and half with andrew miller who discontinued)</t>
  </si>
  <si>
    <t>Keegan robinson</t>
  </si>
  <si>
    <t>gevaudan</t>
  </si>
  <si>
    <t>none</t>
  </si>
  <si>
    <t>BESURE funds</t>
  </si>
  <si>
    <t>jp start up in the fall</t>
  </si>
  <si>
    <t>BESURE (half and half with gianna corbi who discontinued)</t>
  </si>
  <si>
    <t>alexander wasden</t>
  </si>
  <si>
    <t>hu</t>
  </si>
  <si>
    <t>Kevin Zhexi li</t>
  </si>
  <si>
    <t>zuo</t>
  </si>
  <si>
    <t>BeSURe</t>
  </si>
  <si>
    <t>nsf in the fall</t>
  </si>
  <si>
    <t>Lucas Paret</t>
  </si>
  <si>
    <t>durmus</t>
  </si>
  <si>
    <t>alp start up in the fall</t>
  </si>
  <si>
    <t>in the system for summer?</t>
  </si>
  <si>
    <t>may / june</t>
  </si>
  <si>
    <t>july / august</t>
  </si>
  <si>
    <t>not sure</t>
  </si>
  <si>
    <t>currently being paid</t>
  </si>
  <si>
    <t>dani</t>
  </si>
  <si>
    <t>not sure if they are in the system yet, paid through another dept right now</t>
  </si>
  <si>
    <t>waiting on response from advisor</t>
  </si>
  <si>
    <t>wang</t>
  </si>
  <si>
    <t>had issues, are they okay now?</t>
  </si>
  <si>
    <t>mohammad elmi</t>
  </si>
  <si>
    <t>PSC NSF EAGER Smart Garden Alleys (500000022422)</t>
  </si>
  <si>
    <t>500000022815 (PSC U.S.-Ireland R&amp;D)</t>
  </si>
  <si>
    <t>banking matching for fall</t>
  </si>
  <si>
    <t>Nathan Kurtz</t>
  </si>
  <si>
    <t>not sure if they are in the system yet</t>
  </si>
  <si>
    <t>july = 110000001903
august = BESURE</t>
  </si>
  <si>
    <t>PSC U.S.-Ireland R&amp;D (500000022815)</t>
  </si>
  <si>
    <t>alex pan</t>
  </si>
  <si>
    <t>alex duffus</t>
  </si>
  <si>
    <t>matthew hollingham</t>
  </si>
  <si>
    <t>Re-AIM lab startup fund: 120000000792</t>
  </si>
  <si>
    <t>taylor gonet</t>
  </si>
  <si>
    <t>PSC NSF MASONRY STRUCTURES	500000023004</t>
  </si>
  <si>
    <t>Olivia Knoechel</t>
  </si>
  <si>
    <t>Claire Rawlins</t>
  </si>
  <si>
    <t>dia brown</t>
  </si>
  <si>
    <t>Elisabeth macafee</t>
  </si>
  <si>
    <t>Besure</t>
  </si>
  <si>
    <t>Varun Damarla</t>
  </si>
  <si>
    <t>NSF 500000026477 PSC</t>
  </si>
  <si>
    <t>NASA (outside of department so dont worry about them)</t>
  </si>
  <si>
    <t>460000000622  CSRI</t>
  </si>
  <si>
    <t>Emalee King</t>
  </si>
  <si>
    <t>leicht</t>
  </si>
  <si>
    <t>not applicable</t>
  </si>
  <si>
    <t>feb + march = department; april + may = IO xxx</t>
  </si>
  <si>
    <t>feb + march = department; april + may = IO NSF 500000026477 PSC</t>
  </si>
  <si>
    <t>Chiara Sloboda</t>
  </si>
  <si>
    <t>nasa</t>
  </si>
  <si>
    <t>Hasan Demirgil</t>
  </si>
  <si>
    <t>Kiersten Williams</t>
  </si>
  <si>
    <t>summer funding</t>
  </si>
  <si>
    <t>NSF REU (IO#: 500000022422)</t>
  </si>
  <si>
    <t>NSF RAPID REU / BESURE</t>
  </si>
  <si>
    <t>nsf reu</t>
  </si>
  <si>
    <t>Anna Read</t>
  </si>
  <si>
    <t>Pavlak</t>
  </si>
  <si>
    <t>BESURE / GXP93 Pavlak SEED</t>
  </si>
  <si>
    <t>Tom Hill</t>
  </si>
  <si>
    <t>joe</t>
  </si>
  <si>
    <t>nsf rapid reu</t>
  </si>
  <si>
    <t>dept</t>
  </si>
  <si>
    <t xml:space="preserve">Kennais </t>
  </si>
  <si>
    <t>fading off from summer</t>
  </si>
  <si>
    <t>Biz Lynch</t>
  </si>
  <si>
    <t>saanchi</t>
  </si>
  <si>
    <t>fading off from last year</t>
  </si>
  <si>
    <t>Darby Miller</t>
  </si>
  <si>
    <t>Nithika Menon</t>
  </si>
  <si>
    <t>vincent boyer</t>
  </si>
  <si>
    <t>doe</t>
  </si>
  <si>
    <t>alvaro campos</t>
  </si>
  <si>
    <t>yingzhuo (angel) duan</t>
  </si>
  <si>
    <t>ling / napolitano</t>
  </si>
  <si>
    <t>napolitano nsf hdr</t>
  </si>
  <si>
    <t>JP RIF</t>
  </si>
  <si>
    <t>Tiffany Mendoza</t>
  </si>
  <si>
    <t>asadi</t>
  </si>
  <si>
    <t>Salary saving</t>
  </si>
  <si>
    <t>Paris Pavelchik</t>
  </si>
  <si>
    <t>Eric Smith</t>
  </si>
  <si>
    <t> 460000000529</t>
  </si>
  <si>
    <t>Dylan Huegel</t>
  </si>
  <si>
    <t>boothby</t>
  </si>
  <si>
    <t>fall 2024 salary savings</t>
  </si>
  <si>
    <t>Abby Erich</t>
  </si>
  <si>
    <t>fall 2024 salary savings: Re-AIM lab startup fund IO# is 120000000792</t>
  </si>
  <si>
    <t>topic</t>
  </si>
  <si>
    <t>first half funding</t>
  </si>
  <si>
    <t>second half funding</t>
  </si>
  <si>
    <t>isabella ortolan</t>
  </si>
  <si>
    <t>titus reed</t>
  </si>
  <si>
    <t>yes</t>
  </si>
  <si>
    <t>tom hill</t>
  </si>
  <si>
    <t>joe kallas</t>
  </si>
  <si>
    <t>NSF RAPID REU</t>
  </si>
  <si>
    <t>nathan kurtz</t>
  </si>
  <si>
    <t>Zou IO smart cities REU</t>
  </si>
  <si>
    <t>Diana Gomez Fonesca</t>
  </si>
  <si>
    <t>Esther</t>
  </si>
  <si>
    <t>Esther IO</t>
  </si>
  <si>
    <t>Kennais Simms</t>
  </si>
  <si>
    <t>DOE (# 143514)</t>
  </si>
  <si>
    <t>thomas mihalko</t>
  </si>
  <si>
    <t>december poster?</t>
  </si>
  <si>
    <t>Sarah Lininger</t>
  </si>
  <si>
    <t>solnosky</t>
  </si>
  <si>
    <t>na</t>
  </si>
  <si>
    <t>Nathan Leo</t>
  </si>
  <si>
    <t>rakeh saleem</t>
  </si>
  <si>
    <t>Caterine Yumez-Cosme</t>
  </si>
  <si>
    <t>Lynn Laping</t>
  </si>
  <si>
    <t>Yuxin Li</t>
  </si>
  <si>
    <t>Wang IO</t>
  </si>
  <si>
    <t>Morgan Prichard</t>
  </si>
  <si>
    <t>brown</t>
  </si>
  <si>
    <t>potential $$ for conference</t>
  </si>
  <si>
    <t>saanchi kaushal</t>
  </si>
  <si>
    <t>Napolitano IO RAPID</t>
  </si>
  <si>
    <t>sandra ling</t>
  </si>
  <si>
    <t>ian self (optional)</t>
  </si>
  <si>
    <t>no</t>
  </si>
  <si>
    <t>$250 for conference</t>
  </si>
  <si>
    <t>autum majchrzak</t>
  </si>
  <si>
    <t>chuting sun</t>
  </si>
  <si>
    <t>Zou IO</t>
  </si>
  <si>
    <t>avery miller</t>
  </si>
  <si>
    <t>terminated</t>
  </si>
  <si>
    <t>carter lowell</t>
  </si>
  <si>
    <t>john heath</t>
  </si>
  <si>
    <t>nirjhar alam</t>
  </si>
  <si>
    <t>Henry Baltz</t>
  </si>
  <si>
    <t>not applicable / 496</t>
  </si>
  <si>
    <t>almila meng</t>
  </si>
  <si>
    <t>darby miller</t>
  </si>
  <si>
    <t>diana gomez fonesca</t>
  </si>
  <si>
    <t>obonyo</t>
  </si>
  <si>
    <t>lindsey elam</t>
  </si>
  <si>
    <t>yousra</t>
  </si>
  <si>
    <t>darpa</t>
  </si>
  <si>
    <t>Anika Sengul</t>
  </si>
  <si>
    <t>jebelli</t>
  </si>
  <si>
    <t>Carolina Manrieque</t>
  </si>
  <si>
    <t>Madeline Breneman</t>
  </si>
  <si>
    <t>quit</t>
  </si>
  <si>
    <t>Jiacheng Zhu</t>
  </si>
  <si>
    <t>Kyra Ann Pond</t>
  </si>
  <si>
    <t>JP</t>
  </si>
  <si>
    <t>Cole Schlaline</t>
  </si>
  <si>
    <t>Yousra</t>
  </si>
  <si>
    <t>Preksha Batra</t>
  </si>
  <si>
    <t>Rob IO</t>
  </si>
  <si>
    <t>Kali Lewis</t>
  </si>
  <si>
    <t>Dani</t>
  </si>
  <si>
    <t>not yet</t>
  </si>
  <si>
    <t>Joe Kallas</t>
  </si>
  <si>
    <t xml:space="preserve">not applicable </t>
  </si>
  <si>
    <t>faculty</t>
  </si>
  <si>
    <t xml:space="preserve">dept funding --&gt; </t>
  </si>
  <si>
    <t>BESURE Fall Dept</t>
  </si>
  <si>
    <t>BESURE Spring Dept</t>
  </si>
  <si>
    <t>emailed</t>
  </si>
  <si>
    <t>Solnosky</t>
  </si>
  <si>
    <t>self</t>
  </si>
  <si>
    <t>Ella Hill</t>
  </si>
  <si>
    <t>Napoiltano</t>
  </si>
  <si>
    <t>BESURE external ?</t>
  </si>
  <si>
    <t>BESURE external</t>
  </si>
  <si>
    <t>drawdown</t>
  </si>
  <si>
    <t>ian self</t>
  </si>
  <si>
    <t>`</t>
  </si>
  <si>
    <t>Email</t>
  </si>
  <si>
    <t>Name</t>
  </si>
  <si>
    <t>Applicant name</t>
  </si>
  <si>
    <t>Email address</t>
  </si>
  <si>
    <t>structures</t>
  </si>
  <si>
    <t>mechanical</t>
  </si>
  <si>
    <t>lighting / electrical</t>
  </si>
  <si>
    <t>construction</t>
  </si>
  <si>
    <t>If you have other information about the type of work you would be interested in doing, please provide a brief description here. (Optional)</t>
  </si>
  <si>
    <t>Is there a faculty member you would like to work with (check out our websites!!)? If so, please write their name here and indicate whether you have talked to them about this or not yet. (Optional)</t>
  </si>
  <si>
    <t>Please upload a copy of your resume.</t>
  </si>
  <si>
    <t>emailed for connection</t>
  </si>
  <si>
    <t>confirmed with faculty member</t>
  </si>
  <si>
    <t>confirmed with student</t>
  </si>
  <si>
    <t>akb5999@psu.edu</t>
  </si>
  <si>
    <t>Andrew Brown</t>
  </si>
  <si>
    <t>Moderate interest</t>
  </si>
  <si>
    <t>High interest</t>
  </si>
  <si>
    <t xml:space="preserve">I am interested in building envelopes, green building, and building with the sun in mind </t>
  </si>
  <si>
    <t xml:space="preserve">Julian Wang,  I have talked with him.  </t>
  </si>
  <si>
    <t>https://pennstateoffice365.sharepoint.com/sites/besureprogram/Shared%20Documents/Apps/Microsoft%20Forms/BE-SURE%20student%20form/Please%20upload%20a%20copy%20of%20your%20resume/Drew%20Brown%20Resume%20Archilambda%20Lab_Andrew%20Brown.pdf</t>
  </si>
  <si>
    <t>emailed him and jim</t>
  </si>
  <si>
    <t>bcl5234@psu.edu</t>
  </si>
  <si>
    <t>Brendon Little</t>
  </si>
  <si>
    <t>Low interest</t>
  </si>
  <si>
    <t>Combined Heat and Power, Passive House</t>
  </si>
  <si>
    <t>James Freihaut - Mentioned my interest briefly in an email chain</t>
  </si>
  <si>
    <t>https://pennstateoffice365.sharepoint.com/sites/besureprogram/Shared%20Documents/Apps/Microsoft%20Forms/BE-SURE%20student%20form/Please%20upload%20a%20copy%20of%20your%20resume/Resume%20-%20Brendon%20Little_Brendon%20Little.pdf</t>
  </si>
  <si>
    <t>turned us down</t>
  </si>
  <si>
    <t>cvg5474@psu.edu</t>
  </si>
  <si>
    <t>Christie Gonzalez</t>
  </si>
  <si>
    <t>Not at all</t>
  </si>
  <si>
    <t>Literature reviews, conduct experiments in lab, create surveys for participants, work on writing skills, work on my vocabulary in lighting vocabulary</t>
  </si>
  <si>
    <t>J. Mundinger or Durmus Dorukalp</t>
  </si>
  <si>
    <t>https://pennstateoffice365.sharepoint.com/sites/besureprogram/Shared%20Documents/Apps/Microsoft%20Forms/BE-SURE%20student%20form/Please%20upload%20a%20copy%20of%20your%20resume/ResumeUpdated_ChristieGonzalez_2021_Christie%20Gonzalez.pdf</t>
  </si>
  <si>
    <t>accepted</t>
  </si>
  <si>
    <t>lfr5206@psu.edu</t>
  </si>
  <si>
    <t>Leonardo Rodriguez-Cuba</t>
  </si>
  <si>
    <t>Leonardo Rodriguez Cuba</t>
  </si>
  <si>
    <t>I am interested in applying new technology to confront issues that have impacted the Architectural Engineering community. Additionally refining any of their aspects to create usable prototypes.</t>
  </si>
  <si>
    <t>https://pennstateoffice365.sharepoint.com/sites/besureprogram/_layouts/15/Doc.aspx?sourcedoc=%7B98AFD2A3-B439-40C5-8882-A11F1173298F%7D&amp;file=Resume_Leonardo%20Rodriguez-C.docx&amp;action=default&amp;mobileredirect=true</t>
  </si>
  <si>
    <t>jpw5691@psu.edu</t>
  </si>
  <si>
    <t>Jonathan Wirkus</t>
  </si>
  <si>
    <t>James Freihaut</t>
  </si>
  <si>
    <t>https://pennstateoffice365.sharepoint.com/sites/besureprogram/_layouts/15/Doc.aspx?sourcedoc=%7BC8C57A41-977A-468C-9D82-2A873996144D%7D&amp;file=Wirkus%20Resume_Jonathan%20Wirkus.docx&amp;action=default&amp;mobileredirect=true</t>
  </si>
  <si>
    <t>red5359@psu.edu</t>
  </si>
  <si>
    <t>Essonia Dao</t>
  </si>
  <si>
    <t xml:space="preserve">I have never done research before so I am very open to any type of work. </t>
  </si>
  <si>
    <t>https://pennstateoffice365.sharepoint.com/sites/besureprogram/Shared%20Documents/Apps/Microsoft%20Forms/BE-SURE%20student%20form/Please%20upload%20a%20copy%20of%20your%20resume/Resume%20black-%20Google%C2%A0Docs_Essonia%20Dao.pdf</t>
  </si>
  <si>
    <t>zzb27@psu.edu</t>
  </si>
  <si>
    <t>Zachary Brown</t>
  </si>
  <si>
    <t>leicht and brown</t>
  </si>
  <si>
    <t>https://pennstateoffice365.sharepoint.com/sites/besureprogram/_layouts/15/Doc.aspx?sourcedoc=%7B803CEADE-83A4-42EE-A34A-9442DEFBB08B%7D&amp;file=ZachBrownResume2021_Zachary%20Brown.docx&amp;action=default&amp;mobileredirect=true</t>
  </si>
  <si>
    <t>emailed him</t>
  </si>
  <si>
    <t>kxc5704@psu.edu</t>
  </si>
  <si>
    <t>Katharine Costello</t>
  </si>
  <si>
    <t>https://pennstateoffice365.sharepoint.com/sites/besureprogram/Shared%20Documents/Apps/Microsoft%20Forms/BE-SURE%20student%20form/Please%20upload%20a%20copy%20of%20your%20resume/Resume_KatharineCostello_Katharine%20Costello.pdf</t>
  </si>
  <si>
    <t>bmw6042@psu.edu</t>
  </si>
  <si>
    <t>Brian Whiteford</t>
  </si>
  <si>
    <t>https://pennstateoffice365.sharepoint.com/sites/besureprogram/_layouts/15/Doc.aspx?sourcedoc=%7BA14F8BF4-C804-4F3F-9395-31D9681BE026%7D&amp;file=RESUME_FALL_2021_Brian%20Whiteford.docx&amp;action=default&amp;mobileredirect=true</t>
  </si>
  <si>
    <t>zbl5152@psu.edu</t>
  </si>
  <si>
    <t>Zach Laubscher</t>
  </si>
  <si>
    <t>https://pennstateoffice365.sharepoint.com/sites/besureprogram/Shared%20Documents/Apps/Microsoft%20Forms/BE-SURE%20student%20form/Please%20upload%20a%20copy%20of%20your%20resume/Laubscher_Resume_2022_Zach%20Laubscher.pdf</t>
  </si>
  <si>
    <t>tap5504@psu.edu</t>
  </si>
  <si>
    <t>Theo Perelli</t>
  </si>
  <si>
    <t>Teddy Perelli</t>
  </si>
  <si>
    <t xml:space="preserve">I am very interested in historical preservation and sustainability. </t>
  </si>
  <si>
    <t>https://pennstateoffice365.sharepoint.com/sites/besureprogram/Shared%20Documents/Apps/Microsoft%20Forms/BE-SURE%20student%20form/Please%20upload%20a%20copy%20of%20your%20resume/Teddy%20Perelli-%20Resume%202021.docx_Theo%20Perelli.pdf</t>
  </si>
  <si>
    <t>jnf5202@psu.edu</t>
  </si>
  <si>
    <t>Johannah Fink</t>
  </si>
  <si>
    <t xml:space="preserve">I would be interested in working with PhD student, Titus Reed, researching the use of novel cementitious materials to trap radiative nuclear waste for proper secure underground storage.  </t>
  </si>
  <si>
    <t>Juan Pablo Gevaudan Burgos is the faculty member I am currently looking to work with. He and I have had meetings based upon my interests and have discussed projects I may be able to work on.</t>
  </si>
  <si>
    <t>https://pennstateoffice365.sharepoint.com/sites/besureprogram/Shared%20Documents/Apps/Microsoft%20Forms/BE-SURE%20student%20form/Please%20upload%20a%20copy%20of%20your%20resume/Resume-%20Johannah%20Fink%20(7-15-21)_Johannah%20Fink.pdf</t>
  </si>
  <si>
    <t>sbp5411@psu.edu</t>
  </si>
  <si>
    <t>Sela Plummer</t>
  </si>
  <si>
    <t>https://pennstateoffice365.sharepoint.com/sites/besureprogram/_layouts/15/Doc.aspx?sourcedoc=%7B80622E3B-39BD-4B38-86F0-27C17B15CD28%7D&amp;file=ResumeSelaPlummer_Sela%20Plummer.docx&amp;action=default&amp;mobileredirect=true</t>
  </si>
  <si>
    <t>aam6073@psu.edu</t>
  </si>
  <si>
    <t>Ashton Mitchell</t>
  </si>
  <si>
    <t>https://pennstateoffice365.sharepoint.com/sites/besureprogram/_layouts/15/Doc.aspx?sourcedoc=%7B421E0BFC-3F92-4E90-AFA9-F310D7BE7FE0%7D&amp;file=Official%20College%20Resume%20(1)_Ashton%20Mitchell.docx&amp;action=default&amp;mobileredirect=true</t>
  </si>
  <si>
    <t>evh5366@psu.edu</t>
  </si>
  <si>
    <t>I'm interested in working with the BEAM Lab and coding to learn about and use futuristic practice in the Architectural Engineering field.</t>
  </si>
  <si>
    <t xml:space="preserve">I would like to work with Doctor Napolitano; we have discussed this. </t>
  </si>
  <si>
    <t>https://pennstateoffice365.sharepoint.com/sites/besureprogram/Shared%20Documents/Apps/Microsoft%20Forms/BE-SURE%20student%20form/Please%20upload%20a%20copy%20of%20your%20resume/Hill_ArchitecturalEngineering_Resume_Ella%20Hill.pdf</t>
  </si>
  <si>
    <t>set up with arch payment</t>
  </si>
  <si>
    <t>bmp5687@psu.edu</t>
  </si>
  <si>
    <t>Brighid Perkins</t>
  </si>
  <si>
    <t xml:space="preserve">I'm honestly not sure yet, so I'm very open to whatever. I'm leaning towards structural or construction, but again I am unsure. </t>
  </si>
  <si>
    <t>https://pennstateoffice365.sharepoint.com/sites/besureprogram/_layouts/15/Doc.aspx?sourcedoc=%7B913A8D9D-173E-459E-B437-E7CB2A429E6C%7D&amp;file=Perkins_Brighid_1_CM_STR_Brighid%20Perkins.docx&amp;action=default&amp;mobileredirect=true</t>
  </si>
  <si>
    <t>fbg5056@psu.edu</t>
  </si>
  <si>
    <t>Felipe Garces</t>
  </si>
  <si>
    <t xml:space="preserve">I am very interested in the structural side of engineering and want to learn more about it through research. </t>
  </si>
  <si>
    <t>https://pennstateoffice365.sharepoint.com/sites/besureprogram/_layouts/15/Doc.aspx?sourcedoc=%7B15DAEA41-6BB6-4FE0-9B17-DB4EDDD42B43%7D&amp;file=Garces_Felipe_Resume_1_Felipe%20Garces.docx&amp;action=default&amp;mobileredirect=true</t>
  </si>
  <si>
    <t>sdf5266@psu.edu</t>
  </si>
  <si>
    <t>Skylar Farrow</t>
  </si>
  <si>
    <t>Grasshopper/Python</t>
  </si>
  <si>
    <t>Prof. Napolitano/ Prof. Brown</t>
  </si>
  <si>
    <t>https://pennstateoffice365.sharepoint.com/sites/besureprogram/Shared%20Documents/Apps/Microsoft%20Forms/BE-SURE%20student%20form/Please%20upload%20a%20copy%20of%20your%20resume/resume_Skylar%20Farrow.pdf</t>
  </si>
  <si>
    <t>rxs1301@psu.edu</t>
  </si>
  <si>
    <t>Ryan Sweny</t>
  </si>
  <si>
    <t>Research dealing with metals would be ideal but I am open to all opportunities</t>
  </si>
  <si>
    <t>https://pennstateoffice365.sharepoint.com/sites/besureprogram/_layouts/15/Doc.aspx?sourcedoc=%7B623CD091-7D47-452B-B3E4-3907891B9876%7D&amp;file=Ryan%20Sweny%20Resume_Ryan%20Sweny.docx&amp;action=default&amp;mobileredirect=true</t>
  </si>
  <si>
    <t>rpg5240@psu.edu</t>
  </si>
  <si>
    <t>Ryan Grelle</t>
  </si>
  <si>
    <t>Ryan grelle</t>
  </si>
  <si>
    <t xml:space="preserve">Rpg5240@psu.edu </t>
  </si>
  <si>
    <t>https://pennstateoffice365.sharepoint.com/sites/besureprogram/Shared%20Documents/Apps/Microsoft%20Forms/BE-SURE%20student%20form/Please%20upload%20a%20copy%20of%20your%20resume/GRELLE_RYAN_RESUME_Ryan%20Grelle.pdf</t>
  </si>
  <si>
    <t>ibo5034@psu.edu</t>
  </si>
  <si>
    <t>Isabella Ortolan</t>
  </si>
  <si>
    <t>I would be interested in studying the materials used throughout the projects.</t>
  </si>
  <si>
    <t>https://pennstateoffice365.sharepoint.com/sites/besureprogram/Shared%20Documents/Apps/Microsoft%20Forms/BE-SURE%20student%20form/Please%20upload%20a%20copy%20of%20your%20resume/Resume.Isabella.Ortolan.2021_Isabella%20Ortolan.pdf</t>
  </si>
  <si>
    <t xml:space="preserve">emailed </t>
  </si>
  <si>
    <t>dmz5297@psu.edu</t>
  </si>
  <si>
    <t>Zhang Duanchen</t>
  </si>
  <si>
    <t>Duanchen Zhang</t>
  </si>
  <si>
    <t>I want to test materials because it is what I major in</t>
  </si>
  <si>
    <t>https://pennstateoffice365.sharepoint.com/sites/besureprogram/_layouts/15/Doc.aspx?sourcedoc=%7B29C6C406-C64F-4FA8-AFD4-9B780E01E0B9%7D&amp;file=resume%20for%20college_Zhang%20Duanchen.docx&amp;action=default&amp;mobileredirect=true</t>
  </si>
  <si>
    <t>ybh5174@psu.edu</t>
  </si>
  <si>
    <t>Huang Yasi</t>
  </si>
  <si>
    <t>Yasi Huang</t>
  </si>
  <si>
    <t>https://pennstateoffice365.sharepoint.com/sites/besureprogram/Shared%20Documents/Apps/Microsoft%20Forms/BE-SURE%20student%20form/Please%20upload%20a%20copy%20of%20your%20resume/Yasi%20Huang_resume_Huang%20Yasi.pdf</t>
  </si>
  <si>
    <t>Chwan-jye Jessica Lee</t>
  </si>
  <si>
    <t>cvl5760@psu.edu</t>
  </si>
  <si>
    <t>Since I am currently majoring in Civil Engineering, I would most likely want to do something closely related to my field. If possible, I hope I could have the opportunity to enhance my knowledge and experience through the research.</t>
  </si>
  <si>
    <t>https://pennstateoffice365.sharepoint.com/sites/besureprogram/Shared%20Documents/Apps/Microsoft%20Forms/BE-SURE%20student%20form/Please%20upload%20a%20copy%20of%20your%20resume/ChwanJessicaLee.resume2021.docx%20(1)_Rebecca%20Napolitano.pdf</t>
  </si>
  <si>
    <t>joseph yousef</t>
  </si>
  <si>
    <t>joeyousef@psu.edu</t>
  </si>
  <si>
    <t>https://pennstateoffice365.sharepoint.com/sites/besureprogram/Shared%20Documents/Apps/Microsoft%20Forms/BE-SURE%20student%20form/Please%20upload%20a%20copy%20of%20your%20resume/CIPA2021%20Session%20j_Rebecca%20Napolitano.jpg</t>
  </si>
  <si>
    <t>set up</t>
  </si>
  <si>
    <t>emily flickinger</t>
  </si>
  <si>
    <t>autumn Majchrzak</t>
  </si>
  <si>
    <t>first name</t>
  </si>
  <si>
    <t>last name</t>
  </si>
  <si>
    <t>year</t>
  </si>
  <si>
    <t>department</t>
  </si>
  <si>
    <t>option</t>
  </si>
  <si>
    <t xml:space="preserve">adviser </t>
  </si>
  <si>
    <t>research</t>
  </si>
  <si>
    <t>time commitment</t>
  </si>
  <si>
    <t>picture</t>
  </si>
  <si>
    <t>chrisie</t>
  </si>
  <si>
    <t>gonzalez</t>
  </si>
  <si>
    <t>4th year</t>
  </si>
  <si>
    <t>AE</t>
  </si>
  <si>
    <t>J. Mundinger</t>
  </si>
  <si>
    <t>Currently working on J's research on LED color shift. We are setting up and installing luminaires for the stimulation.</t>
  </si>
  <si>
    <t>2-5 hours</t>
  </si>
  <si>
    <t>yes in the folder</t>
  </si>
  <si>
    <t>autumn</t>
  </si>
  <si>
    <t>majchrzak</t>
  </si>
  <si>
    <t>structural</t>
  </si>
  <si>
    <t>Ryan Solnosky</t>
  </si>
  <si>
    <t>We are looking at bays in lab buildings and keeping track of the number and type of beams, girders, and columns. We are then going to look for trends in the data based on the type of space the bay is used for.</t>
  </si>
  <si>
    <t>5 hours</t>
  </si>
  <si>
    <t xml:space="preserve">yes in the folder </t>
  </si>
  <si>
    <t>sela</t>
  </si>
  <si>
    <t>plummer</t>
  </si>
  <si>
    <t>3rd year</t>
  </si>
  <si>
    <t>We are working in the lighting lab studying color shift in specific LED cubes. We are researching the effects of color shift in these cubes and how to combat this.</t>
  </si>
  <si>
    <t>2 hours</t>
  </si>
  <si>
    <t>Drew</t>
  </si>
  <si>
    <t>Energy Engineering</t>
  </si>
  <si>
    <t>n/a</t>
  </si>
  <si>
    <t>Julian Wang</t>
  </si>
  <si>
    <t>Currently I am helping a PhD student with her project on lighting and indoor human comfort.</t>
  </si>
  <si>
    <t>in teams</t>
  </si>
  <si>
    <t>Zachary</t>
  </si>
  <si>
    <t>Brown and Leicht</t>
  </si>
  <si>
    <t>In terms of masonry construction, parametric, computational design strategies can be used to optimize brick size and layout to increase efficiency and remove design limitations. Exploring these strategies alongside current robotic advancements can result in much more efficient construction environments.</t>
  </si>
  <si>
    <t>5-10 hours</t>
  </si>
  <si>
    <t>isabella</t>
  </si>
  <si>
    <t>ortolan</t>
  </si>
  <si>
    <t>MATSE</t>
  </si>
  <si>
    <t>I’m currently in Dr. Juan Pablo Gevaudan Burgos’ lab helping PhD student Titus Reed with his research. The project aims to develop a new type of cement to contain nuclear waste. </t>
  </si>
  <si>
    <t>20 hrs (exception)</t>
  </si>
  <si>
    <t>yousef</t>
  </si>
  <si>
    <t>I currently work in Doc Nap's BEAM lab on nondestructive evaluation using ground penetrating radar. Additionally I have been exploring work at the intersection of computing for AE applications and user interface design.</t>
  </si>
  <si>
    <t>ella</t>
  </si>
  <si>
    <t>hill</t>
  </si>
  <si>
    <t>2nd year</t>
  </si>
  <si>
    <t>I currently work in Doc Nap's BEAM lab on automatic crack detection using convolutional neural networks as well as on adaptive reuse of existing infrastructure using genetic algorithm.</t>
  </si>
  <si>
    <t>skylar</t>
  </si>
  <si>
    <t>farrow</t>
  </si>
  <si>
    <t>michelle</t>
  </si>
  <si>
    <t>wong</t>
  </si>
  <si>
    <t>G1</t>
  </si>
  <si>
    <t>gevaudan / napolitano</t>
  </si>
  <si>
    <t>3d printed concrete</t>
  </si>
  <si>
    <t>Madeleine</t>
  </si>
  <si>
    <t>murphree</t>
  </si>
  <si>
    <r>
      <t>researching the extraction of sulfur from the lunar mineral Troilite to create a zero-CO</t>
    </r>
    <r>
      <rPr>
        <vertAlign val="subscript"/>
        <sz val="11"/>
        <color rgb="FF000000"/>
        <rFont val="Times New Roman"/>
        <family val="1"/>
      </rPr>
      <t>2 </t>
    </r>
    <r>
      <rPr>
        <sz val="15"/>
        <color rgb="FF000000"/>
        <rFont val="Times New Roman"/>
        <family val="1"/>
      </rPr>
      <t>binder for lunar concrete</t>
    </r>
  </si>
  <si>
    <t>michael</t>
  </si>
  <si>
    <t>espinal</t>
  </si>
  <si>
    <t>understanding the long-term viability and performance of self-healing 3D printed alternative cement materials</t>
  </si>
  <si>
    <t>RY30fNs9iUOpwcEVUm61LiTAEOSov5hCufAPKVUg4ytUNTdJWTBSRFpRNVExOEJNVVJSVzJOMzc0TSQlQCN0PWcu</t>
  </si>
  <si>
    <t>Form1</t>
  </si>
  <si>
    <t>{1c1e9678-9bc1-42ff-8157-bfa7d940da42}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</si>
</sst>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1"/>
      <color theme="1"/>
      <name val="Calibri"/>
      <family val="2"/>
      <scheme val="minor"/>
    </font>
    <font>
      <u/>
      <sz val="11"/>
      <color theme="10"/>
      <name val="Calibri"/>
      <family val="2"/>
      <scheme val="minor"/>
    </font>
    <font>
      <sz val="11"/>
      <color rgb="FFFF0000"/>
      <name val="Calibri"/>
      <family val="2"/>
      <scheme val="minor"/>
    </font>
    <font>
      <sz val="11"/>
      <color theme="1"/>
      <name val="Calibri"/>
      <family val="2"/>
      <charset val="1"/>
    </font>
    <font>
      <b/>
      <sz val="11"/>
      <color theme="1"/>
      <name val="Calibri"/>
      <family val="2"/>
      <scheme val="minor"/>
    </font>
    <font>
      <sz val="8"/>
      <name val="Calibri"/>
      <family val="2"/>
      <scheme val="minor"/>
    </font>
    <font>
      <sz val="16"/>
      <color rgb="FF000000"/>
      <name val="Calibri"/>
      <family val="2"/>
      <scheme val="minor"/>
    </font>
    <font>
      <sz val="15"/>
      <color rgb="FF000000"/>
      <name val="Times New Roman"/>
      <family val="1"/>
    </font>
    <font>
      <vertAlign val="subscript"/>
      <sz val="11"/>
      <color rgb="FF000000"/>
      <name val="Times New Roman"/>
      <family val="1"/>
    </font>
    <font>
      <sz val="15"/>
      <color rgb="FF000000"/>
      <name val="Calibri"/>
      <family val="2"/>
      <scheme val="minor"/>
    </font>
    <font>
      <b/>
      <sz val="12"/>
      <color theme="1"/>
      <name val="Calibri"/>
      <family val="2"/>
      <scheme val="minor"/>
    </font>
    <font>
      <sz val="11"/>
      <color rgb="FF000000"/>
      <name val="Calibri"/>
      <family val="2"/>
      <scheme val="minor"/>
    </font>
    <font>
      <sz val="11"/>
      <color rgb="FFFF0000"/>
      <name val="Calibri"/>
    </font>
    <font>
      <sz val="11"/>
      <color rgb="FF212121"/>
      <name val="Calibri"/>
      <family val="2"/>
      <charset val="1"/>
    </font>
    <font>
      <sz val="11"/>
      <color rgb="FFED7D31"/>
      <name val="Calibri"/>
      <family val="2"/>
      <scheme val="minor"/>
    </font>
    <font>
      <sz val="11"/>
      <color rgb="FF212121"/>
      <name val="Calibri"/>
      <charset val="1"/>
    </font>
    <font>
      <sz val="11"/>
      <color rgb="FF212121"/>
      <name val="Times New Roman"/>
      <family val="1"/>
      <charset val="1"/>
    </font>
    <font>
      <sz val="11"/>
      <color rgb="FF212121"/>
      <name val="Aptos"/>
      <family val="2"/>
      <charset val="1"/>
    </font>
    <font>
      <strike/>
      <sz val="11"/>
      <color theme="1"/>
      <name val="Calibri"/>
      <family val="2"/>
      <scheme val="minor"/>
    </font>
    <font>
      <strike/>
      <sz val="11"/>
      <color rgb="FF212121"/>
      <name val="Aptos"/>
      <family val="2"/>
      <charset val="1"/>
    </font>
    <font>
      <sz val="11"/>
      <color theme="1"/>
      <name val="Aptos"/>
      <family val="2"/>
      <charset val="1"/>
    </font>
    <font>
      <sz val="12"/>
      <color rgb="FF000000"/>
      <name val="Aptos"/>
      <family val="2"/>
      <charset val="1"/>
    </font>
    <font>
      <strike/>
      <sz val="11"/>
      <color rgb="FF000000"/>
      <name val="Calibri"/>
      <family val="2"/>
      <scheme val="minor"/>
    </font>
    <font>
      <strike/>
      <sz val="11"/>
      <color rgb="FF000000"/>
      <name val="Aptos"/>
      <family val="2"/>
      <charset val="1"/>
    </font>
    <font>
      <sz val="11"/>
      <color rgb="FF000000"/>
      <name val="Calibri"/>
      <family val="2"/>
      <charset val="1"/>
    </font>
    <font>
      <sz val="12"/>
      <color rgb="FF000000"/>
      <name val="Aptos"/>
      <charset val="1"/>
    </font>
    <font>
      <i/>
      <sz val="12"/>
      <color rgb="FF000000"/>
      <name val="Aptos"/>
      <charset val="1"/>
    </font>
    <font>
      <sz val="12"/>
      <color rgb="FF212121"/>
      <name val="Aptos"/>
    </font>
    <font>
      <sz val="12"/>
      <color rgb="FF000000"/>
      <name val="Aptos"/>
    </font>
    <font>
      <b/>
      <i/>
      <sz val="11"/>
      <color rgb="FF212121"/>
      <name val="Aptos"/>
      <family val="2"/>
      <charset val="1"/>
    </font>
    <font>
      <b/>
      <sz val="12"/>
      <color rgb="FF174E86"/>
      <name val="Calibri"/>
      <family val="2"/>
      <scheme val="minor"/>
    </font>
    <font>
      <sz val="11"/>
      <color rgb="FF000000"/>
      <name val="Aptos"/>
      <family val="2"/>
    </font>
    <font>
      <strike/>
      <sz val="11"/>
      <color rgb="FFFF0000"/>
      <name val="Aptos"/>
      <family val="2"/>
      <charset val="1"/>
    </font>
    <font>
      <strike/>
      <sz val="11"/>
      <color rgb="FFFF0000"/>
      <name val="Calibri"/>
      <family val="2"/>
      <scheme val="minor"/>
    </font>
    <font>
      <strike/>
      <sz val="11"/>
      <color rgb="FFFF0000"/>
      <name val="Calibri"/>
      <family val="2"/>
      <charset val="1"/>
    </font>
    <font>
      <b/>
      <sz val="11"/>
      <color rgb="FF1B1C1D"/>
      <name val="Google Sans Text"/>
      <family val="2"/>
      <charset val="1"/>
    </font>
    <font>
      <sz val="11"/>
      <color rgb="FF1B1C1D"/>
      <name val="Google Sans Text"/>
      <family val="2"/>
      <charset val="1"/>
    </font>
    <font>
      <sz val="9"/>
      <color rgb="FF333333"/>
      <name val="Open Sans"/>
      <charset val="1"/>
    </font>
    <font>
      <sz val="11"/>
      <color rgb="FF000000"/>
      <name val="Calibri"/>
      <family val="2"/>
    </font>
  </fonts>
  <fills count="6">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theme="7"/>
        <bgColor indexed="64"/>
      </patternFill>
    </fill>
    <fill>
      <patternFill patternType="solid">
        <fgColor rgb="FFFFFF00"/>
        <bgColor indexed="64"/>
      </patternFill>
    </fill>
  </fills>
  <borders count="13">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auto="1"/>
      </left>
      <right style="medium">
        <color auto="1"/>
      </right>
      <top/>
      <bottom style="medium">
        <color auto="1"/>
      </bottom>
      <diagonal/>
    </border>
    <border>
      <left/>
      <right style="medium">
        <color auto="1"/>
      </right>
      <top/>
      <bottom style="medium">
        <color auto="1"/>
      </bottom>
      <diagonal/>
    </border>
    <border>
      <left/>
      <right/>
      <top style="thin">
        <color theme="4" tint="0.39997558519241921"/>
      </top>
      <bottom style="thin">
        <color theme="4" tint="0.39997558519241921"/>
      </bottom>
      <diagonal/>
    </border>
    <border>
      <left style="thin">
        <color rgb="FF1B1C1D"/>
      </left>
      <right style="thin">
        <color rgb="FF1B1C1D"/>
      </right>
      <top style="thin">
        <color rgb="FF1B1C1D"/>
      </top>
      <bottom style="thin">
        <color rgb="FF1B1C1D"/>
      </bottom>
      <diagonal/>
    </border>
  </borders>
  <cellStyleXfs count="2">
    <xf numFmtId="0" fontId="0" fillId="0" borderId="0"/>
    <xf numFmtId="0" fontId="1" fillId="0" borderId="0" applyNumberFormat="0"/>
  </cellStyleXfs>
  <cellXfs count="78">
    <xf numFmtId="0" fontId="0" fillId="0" borderId="0" xfId="0"/>
    <xf numFmtId="0" fontId="2" fillId="0" borderId="0" xfId="0" applyFont="1"/>
    <xf numFmtId="0" fontId="1" fillId="0" borderId="0" xfId="1" applyNumberFormat="1"/>
    <xf numFmtId="0" fontId="3" fillId="0" borderId="0" xfId="0" applyFont="1"/>
    <xf numFmtId="0" fontId="0" fillId="2" borderId="0" xfId="0" applyFill="1"/>
    <xf numFmtId="0" fontId="0" fillId="3" borderId="0" xfId="0" applyFill="1"/>
    <xf numFmtId="0" fontId="2" fillId="3" borderId="0" xfId="0" applyFont="1" applyFill="1"/>
    <xf numFmtId="0" fontId="1" fillId="3" borderId="0" xfId="1" applyNumberFormat="1" applyFill="1"/>
    <xf numFmtId="0" fontId="0" fillId="4" borderId="0" xfId="0" applyFill="1"/>
    <xf numFmtId="0" fontId="4" fillId="0" borderId="0" xfId="0" applyFont="1"/>
    <xf numFmtId="0" fontId="6" fillId="0" borderId="0" xfId="0" applyFont="1"/>
    <xf numFmtId="0" fontId="7" fillId="0" borderId="0" xfId="0" applyFont="1"/>
    <xf numFmtId="0" fontId="9" fillId="0" borderId="0" xfId="0" applyFont="1"/>
    <xf numFmtId="16" fontId="0" fillId="0" borderId="0" xfId="0" applyNumberFormat="1"/>
    <xf numFmtId="0" fontId="0" fillId="5" borderId="0" xfId="0" applyFill="1"/>
    <xf numFmtId="16" fontId="0" fillId="5" borderId="0" xfId="0" applyNumberFormat="1" applyFill="1"/>
    <xf numFmtId="0" fontId="2" fillId="5" borderId="0" xfId="0" applyFont="1" applyFill="1"/>
    <xf numFmtId="0" fontId="10" fillId="0" borderId="0" xfId="0" applyFont="1"/>
    <xf numFmtId="0" fontId="11" fillId="0" borderId="0" xfId="0" applyFont="1"/>
    <xf numFmtId="0" fontId="0" fillId="0" borderId="1" xfId="0" applyBorder="1"/>
    <xf numFmtId="0" fontId="0" fillId="0" borderId="2" xfId="0" applyBorder="1"/>
    <xf numFmtId="0" fontId="0" fillId="0" borderId="3" xfId="0" applyBorder="1"/>
    <xf numFmtId="0" fontId="0" fillId="0" borderId="5" xfId="0" applyBorder="1"/>
    <xf numFmtId="0" fontId="0" fillId="0" borderId="7" xfId="0" applyBorder="1"/>
    <xf numFmtId="0" fontId="0" fillId="0" borderId="8" xfId="0" applyBorder="1"/>
    <xf numFmtId="0" fontId="4" fillId="0" borderId="4" xfId="0" applyFont="1" applyBorder="1"/>
    <xf numFmtId="0" fontId="4" fillId="0" borderId="6" xfId="0" applyFont="1" applyBorder="1"/>
    <xf numFmtId="0" fontId="12" fillId="0" borderId="0" xfId="0" applyFont="1"/>
    <xf numFmtId="0" fontId="13" fillId="0" borderId="0" xfId="0" applyFont="1"/>
    <xf numFmtId="0" fontId="14" fillId="0" borderId="0" xfId="0" applyFont="1"/>
    <xf numFmtId="0" fontId="15" fillId="0" borderId="9" xfId="0" applyFont="1" applyBorder="1" applyAlignment="1">
      <alignment wrapText="1"/>
    </xf>
    <xf numFmtId="0" fontId="15" fillId="0" borderId="10" xfId="0" applyFont="1" applyBorder="1" applyAlignment="1">
      <alignment wrapText="1"/>
    </xf>
    <xf numFmtId="0" fontId="16" fillId="0" borderId="0" xfId="0" applyFont="1"/>
    <xf numFmtId="0" fontId="18" fillId="0" borderId="0" xfId="0" applyFont="1"/>
    <xf numFmtId="2" fontId="4" fillId="0" borderId="0" xfId="0" applyNumberFormat="1" applyFont="1"/>
    <xf numFmtId="2" fontId="16" fillId="0" borderId="0" xfId="0" applyNumberFormat="1" applyFont="1"/>
    <xf numFmtId="2" fontId="0" fillId="0" borderId="0" xfId="0" applyNumberFormat="1"/>
    <xf numFmtId="2" fontId="19" fillId="0" borderId="0" xfId="0" applyNumberFormat="1" applyFont="1"/>
    <xf numFmtId="2" fontId="17" fillId="0" borderId="0" xfId="0" applyNumberFormat="1" applyFont="1"/>
    <xf numFmtId="0" fontId="20" fillId="0" borderId="0" xfId="0" applyFont="1"/>
    <xf numFmtId="0" fontId="21" fillId="0" borderId="0" xfId="0" applyFont="1"/>
    <xf numFmtId="2" fontId="18" fillId="0" borderId="0" xfId="0" applyNumberFormat="1" applyFont="1"/>
    <xf numFmtId="2" fontId="20" fillId="0" borderId="0" xfId="0" applyNumberFormat="1" applyFont="1"/>
    <xf numFmtId="0" fontId="22" fillId="0" borderId="0" xfId="0" applyFont="1"/>
    <xf numFmtId="2" fontId="22" fillId="0" borderId="0" xfId="0" applyNumberFormat="1" applyFont="1"/>
    <xf numFmtId="2" fontId="23" fillId="0" borderId="0" xfId="0" applyNumberFormat="1" applyFont="1"/>
    <xf numFmtId="2" fontId="11" fillId="0" borderId="0" xfId="0" applyNumberFormat="1" applyFont="1"/>
    <xf numFmtId="0" fontId="11" fillId="0" borderId="11" xfId="0" applyFont="1" applyBorder="1"/>
    <xf numFmtId="0" fontId="4" fillId="0" borderId="0" xfId="0" applyFont="1" applyAlignment="1">
      <alignment wrapText="1"/>
    </xf>
    <xf numFmtId="0" fontId="0" fillId="0" borderId="0" xfId="0" applyAlignment="1">
      <alignment wrapText="1"/>
    </xf>
    <xf numFmtId="0" fontId="0" fillId="2" borderId="0" xfId="0" applyFill="1" applyAlignment="1">
      <alignment wrapText="1"/>
    </xf>
    <xf numFmtId="2" fontId="0" fillId="2" borderId="0" xfId="0" applyNumberFormat="1" applyFill="1"/>
    <xf numFmtId="0" fontId="11" fillId="2" borderId="0" xfId="0" applyFont="1" applyFill="1"/>
    <xf numFmtId="2" fontId="0" fillId="0" borderId="0" xfId="0" applyNumberFormat="1" applyAlignment="1">
      <alignment wrapText="1"/>
    </xf>
    <xf numFmtId="49" fontId="4" fillId="0" borderId="0" xfId="0" applyNumberFormat="1" applyFont="1"/>
    <xf numFmtId="49" fontId="0" fillId="0" borderId="0" xfId="0" applyNumberFormat="1"/>
    <xf numFmtId="49" fontId="3" fillId="0" borderId="0" xfId="0" applyNumberFormat="1" applyFont="1"/>
    <xf numFmtId="0" fontId="25" fillId="0" borderId="0" xfId="0" applyFont="1"/>
    <xf numFmtId="0" fontId="26" fillId="0" borderId="0" xfId="0" applyFont="1"/>
    <xf numFmtId="0" fontId="24" fillId="5" borderId="0" xfId="0" applyFont="1" applyFill="1"/>
    <xf numFmtId="49" fontId="0" fillId="5" borderId="0" xfId="0" applyNumberFormat="1" applyFill="1"/>
    <xf numFmtId="0" fontId="17" fillId="0" borderId="0" xfId="0" applyFont="1"/>
    <xf numFmtId="0" fontId="24" fillId="0" borderId="0" xfId="0" applyFont="1"/>
    <xf numFmtId="0" fontId="30" fillId="0" borderId="0" xfId="0" applyFont="1" applyAlignment="1">
      <alignment wrapText="1"/>
    </xf>
    <xf numFmtId="2" fontId="3" fillId="0" borderId="0" xfId="0" applyNumberFormat="1" applyFont="1"/>
    <xf numFmtId="2" fontId="27" fillId="0" borderId="0" xfId="0" applyNumberFormat="1" applyFont="1"/>
    <xf numFmtId="2" fontId="0" fillId="5" borderId="0" xfId="0" applyNumberFormat="1" applyFill="1"/>
    <xf numFmtId="2" fontId="24" fillId="0" borderId="0" xfId="0" applyNumberFormat="1" applyFont="1"/>
    <xf numFmtId="2" fontId="31" fillId="0" borderId="0" xfId="0" applyNumberFormat="1" applyFont="1" applyAlignment="1">
      <alignment wrapText="1"/>
    </xf>
    <xf numFmtId="0" fontId="32" fillId="0" borderId="0" xfId="0" applyFont="1"/>
    <xf numFmtId="0" fontId="33" fillId="0" borderId="0" xfId="0" applyFont="1"/>
    <xf numFmtId="2" fontId="34" fillId="0" borderId="0" xfId="0" applyNumberFormat="1" applyFont="1"/>
    <xf numFmtId="49" fontId="33" fillId="0" borderId="0" xfId="0" applyNumberFormat="1" applyFont="1"/>
    <xf numFmtId="0" fontId="35" fillId="0" borderId="12" xfId="0" applyFont="1" applyBorder="1" applyAlignment="1">
      <alignment readingOrder="1"/>
    </xf>
    <xf numFmtId="0" fontId="36" fillId="0" borderId="12" xfId="0" applyFont="1" applyBorder="1" applyAlignment="1">
      <alignment readingOrder="1"/>
    </xf>
    <xf numFmtId="49" fontId="0" fillId="0" borderId="0" xfId="0" applyNumberFormat="1" applyAlignment="1">
      <alignment wrapText="1"/>
    </xf>
    <xf numFmtId="0" fontId="37" fillId="0" borderId="0" xfId="0" applyFont="1"/>
    <xf numFmtId="0" fontId="38" fillId="0" borderId="0" xfId="0" applyFont="1"/>
  </cellXfs>
  <cellStyles count="2">
    <cellStyle name="Hyperlink" xfId="1" builtinId="8"/>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N28" totalsRowShown="0">
  <autoFilter ref="A1:N28" xr:uid="{00000000-0009-0000-0100-000001000000}"/>
  <tableColumns count="14">
    <tableColumn id="4" xr3:uid="{00000000-0010-0000-0000-000004000000}" name="Email" dataDxfId="13"/>
    <tableColumn id="5" xr3:uid="{00000000-0010-0000-0000-000005000000}" name="Name" dataDxfId="12"/>
    <tableColumn id="6" xr3:uid="{00000000-0010-0000-0000-000006000000}" name="Applicant name" dataDxfId="11"/>
    <tableColumn id="7" xr3:uid="{00000000-0010-0000-0000-000007000000}" name="Email address" dataDxfId="10"/>
    <tableColumn id="8" xr3:uid="{00000000-0010-0000-0000-000008000000}" name="structures" dataDxfId="9"/>
    <tableColumn id="9" xr3:uid="{00000000-0010-0000-0000-000009000000}" name="mechanical" dataDxfId="8"/>
    <tableColumn id="10" xr3:uid="{00000000-0010-0000-0000-00000A000000}" name="lighting / electrical" dataDxfId="7"/>
    <tableColumn id="11" xr3:uid="{00000000-0010-0000-0000-00000B000000}" name="construction" dataDxfId="6"/>
    <tableColumn id="12" xr3:uid="{00000000-0010-0000-0000-00000C000000}" name="If you have other information about the type of work you would be interested in doing, please provide a brief description here. (Optional)" dataDxfId="5"/>
    <tableColumn id="13" xr3:uid="{00000000-0010-0000-0000-00000D000000}" name="Is there a faculty member you would like to work with (check out our websites!!)? If so, please write their name here and indicate whether you have talked to them about this or not yet. (Optional)" dataDxfId="4"/>
    <tableColumn id="14" xr3:uid="{00000000-0010-0000-0000-00000E000000}" name="Please upload a copy of your resume." dataDxfId="3"/>
    <tableColumn id="15" xr3:uid="{61C25C0C-0535-403B-8FF8-6929258D057B}" name="emailed for connection" dataDxfId="2"/>
    <tableColumn id="16" xr3:uid="{527435F5-312D-43A3-9397-4F840A98173B}" name="confirmed with faculty member" dataDxfId="1"/>
    <tableColumn id="17" xr3:uid="{9C46CAB2-0C2F-45DF-9A19-DD04875C5835}" name="confirmed with stud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1.xml.rels><?xml version="1.0" encoding="UTF-8" standalone="yes"?>
<Relationships xmlns="http://schemas.openxmlformats.org/package/2006/relationships"><Relationship Id="rId8" Type="http://schemas.openxmlformats.org/officeDocument/2006/relationships/hyperlink" Target="https://pennstateoffice365.sharepoint.com/sites/besureprogram/_layouts/15/Doc.aspx?sourcedoc=%7B913A8D9D-173E-459E-B437-E7CB2A429E6C%7D&amp;file=Perkins_Brighid_1_CM_STR_Brighid%20Perkins.docx&amp;action=default&amp;mobileredirect=true" TargetMode="External"/><Relationship Id="rId13" Type="http://schemas.openxmlformats.org/officeDocument/2006/relationships/hyperlink" Target="https://pennstateoffice365.sharepoint.com/sites/besureprogram/_layouts/15/Doc.aspx?sourcedoc=%7B15DAEA41-6BB6-4FE0-9B17-DB4EDDD42B43%7D&amp;file=Garces_Felipe_Resume_1_Felipe%20Garces.docx&amp;action=default&amp;mobileredirect=true" TargetMode="External"/><Relationship Id="rId18" Type="http://schemas.openxmlformats.org/officeDocument/2006/relationships/table" Target="../tables/table1.xml"/><Relationship Id="rId3" Type="http://schemas.openxmlformats.org/officeDocument/2006/relationships/hyperlink" Target="https://pennstateoffice365.sharepoint.com/sites/besureprogram/_layouts/15/Doc.aspx?sourcedoc=%7B421E0BFC-3F92-4E90-AFA9-F310D7BE7FE0%7D&amp;file=Official%20College%20Resume%20(1)_Ashton%20Mitchell.docx&amp;action=default&amp;mobileredirect=true" TargetMode="External"/><Relationship Id="rId7" Type="http://schemas.openxmlformats.org/officeDocument/2006/relationships/hyperlink" Target="https://pennstateoffice365.sharepoint.com/sites/besureprogram/Shared%20Documents/Apps/Microsoft%20Forms/BE-SURE%20student%20form/Please%20upload%20a%20copy%20of%20your%20resume/Yasi%20Huang_resume_Huang%20Yasi.pdf" TargetMode="External"/><Relationship Id="rId12" Type="http://schemas.openxmlformats.org/officeDocument/2006/relationships/hyperlink" Target="https://pennstateoffice365.sharepoint.com/sites/besureprogram/Shared%20Documents/Apps/Microsoft%20Forms/BE-SURE%20student%20form/Please%20upload%20a%20copy%20of%20your%20resume/Resume_KatharineCostello_Katharine%20Costello.pdf" TargetMode="External"/><Relationship Id="rId17" Type="http://schemas.openxmlformats.org/officeDocument/2006/relationships/printerSettings" Target="../printerSettings/printerSettings1.bin"/><Relationship Id="rId2" Type="http://schemas.openxmlformats.org/officeDocument/2006/relationships/hyperlink" Target="https://pennstateoffice365.sharepoint.com/sites/besureprogram/_layouts/15/Doc.aspx?sourcedoc=%7B80622E3B-39BD-4B38-86F0-27C17B15CD28%7D&amp;file=ResumeSelaPlummer_Sela%20Plummer.docx&amp;action=default&amp;mobileredirect=true" TargetMode="External"/><Relationship Id="rId16" Type="http://schemas.openxmlformats.org/officeDocument/2006/relationships/hyperlink" Target="mailto:lfr5206@psu.edu" TargetMode="External"/><Relationship Id="rId1" Type="http://schemas.openxmlformats.org/officeDocument/2006/relationships/hyperlink" Target="https://pennstateoffice365.sharepoint.com/sites/besureprogram/Shared%20Documents/Apps/Microsoft%20Forms/BE-SURE%20student%20form/Please%20upload%20a%20copy%20of%20your%20resume/Laubscher_Resume_2022_Zach%20Laubscher.pdf" TargetMode="External"/><Relationship Id="rId6" Type="http://schemas.openxmlformats.org/officeDocument/2006/relationships/hyperlink" Target="https://pennstateoffice365.sharepoint.com/sites/besureprogram/Shared%20Documents/Apps/Microsoft%20Forms/BE-SURE%20student%20form/Please%20upload%20a%20copy%20of%20your%20resume/ChwanJessicaLee.resume2021.docx%20(1)_Rebecca%20Napolitano.pdf" TargetMode="External"/><Relationship Id="rId11" Type="http://schemas.openxmlformats.org/officeDocument/2006/relationships/hyperlink" Target="https://pennstateoffice365.sharepoint.com/sites/besureprogram/_layouts/15/Doc.aspx?sourcedoc=%7B98AFD2A3-B439-40C5-8882-A11F1173298F%7D&amp;file=Resume_Leonardo%20Rodriguez-C.docx&amp;action=default&amp;mobileredirect=true" TargetMode="External"/><Relationship Id="rId5" Type="http://schemas.openxmlformats.org/officeDocument/2006/relationships/hyperlink" Target="https://pennstateoffice365.sharepoint.com/sites/besureprogram/_layouts/15/Doc.aspx?sourcedoc=%7B29C6C406-C64F-4FA8-AFD4-9B780E01E0B9%7D&amp;file=resume%20for%20college_Zhang%20Duanchen.docx&amp;action=default&amp;mobileredirect=true" TargetMode="External"/><Relationship Id="rId15" Type="http://schemas.openxmlformats.org/officeDocument/2006/relationships/hyperlink" Target="https://pennstateoffice365.sharepoint.com/sites/besureprogram/Shared%20Documents/Apps/Microsoft%20Forms/BE-SURE%20student%20form/Please%20upload%20a%20copy%20of%20your%20resume/Resume.Isabella.Ortolan.2021_Isabella%20Ortolan.pdf" TargetMode="External"/><Relationship Id="rId10" Type="http://schemas.openxmlformats.org/officeDocument/2006/relationships/hyperlink" Target="https://pennstateoffice365.sharepoint.com/sites/besureprogram/_layouts/15/Doc.aspx?sourcedoc=%7B803CEADE-83A4-42EE-A34A-9442DEFBB08B%7D&amp;file=ZachBrownResume2021_Zachary%20Brown.docx&amp;action=default&amp;mobileredirect=true" TargetMode="External"/><Relationship Id="rId4" Type="http://schemas.openxmlformats.org/officeDocument/2006/relationships/hyperlink" Target="https://pennstateoffice365.sharepoint.com/sites/besureprogram/Shared%20Documents/Apps/Microsoft%20Forms/BE-SURE%20student%20form/Please%20upload%20a%20copy%20of%20your%20resume/GRELLE_RYAN_RESUME_Ryan%20Grelle.pdf" TargetMode="External"/><Relationship Id="rId9" Type="http://schemas.openxmlformats.org/officeDocument/2006/relationships/hyperlink" Target="https://pennstateoffice365.sharepoint.com/sites/besureprogram/_layouts/15/Doc.aspx?sourcedoc=%7BA14F8BF4-C804-4F3F-9395-31D9681BE026%7D&amp;file=RESUME_FALL_2021_Brian%20Whiteford.docx&amp;action=default&amp;mobileredirect=true" TargetMode="External"/><Relationship Id="rId14" Type="http://schemas.openxmlformats.org/officeDocument/2006/relationships/hyperlink" Target="https://pennstateoffice365.sharepoint.com/sites/besureprogram/_layouts/15/Doc.aspx?sourcedoc=%7B623CD091-7D47-452B-B3E4-3907891B9876%7D&amp;file=Ryan%20Sweny%20Resume_Ryan%20Sweny.docx&amp;action=default&amp;mobileredirect=true"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7E797-E88B-4532-8E57-945C8721BF40}">
  <dimension ref="A1:M9"/>
  <sheetViews>
    <sheetView tabSelected="1" workbookViewId="0">
      <selection activeCell="D39" sqref="D39"/>
    </sheetView>
  </sheetViews>
  <sheetFormatPr defaultRowHeight="15"/>
  <cols>
    <col min="1" max="1" width="20.7109375" bestFit="1" customWidth="1"/>
    <col min="2" max="2" width="10.85546875" bestFit="1" customWidth="1"/>
    <col min="4" max="4" width="28.85546875" customWidth="1"/>
    <col min="5" max="5" width="25.42578125" bestFit="1" customWidth="1"/>
    <col min="6" max="6" width="15.42578125" customWidth="1"/>
  </cols>
  <sheetData>
    <row r="1" spans="1:13">
      <c r="A1" s="9" t="s">
        <v>0</v>
      </c>
      <c r="B1" s="9" t="s">
        <v>1</v>
      </c>
      <c r="C1" s="9" t="s">
        <v>2</v>
      </c>
      <c r="D1" s="9" t="s">
        <v>3</v>
      </c>
      <c r="E1" s="34" t="s">
        <v>4</v>
      </c>
      <c r="F1" s="54" t="s">
        <v>5</v>
      </c>
      <c r="G1" s="9" t="s">
        <v>6</v>
      </c>
      <c r="H1" s="9" t="s">
        <v>7</v>
      </c>
      <c r="I1" s="9" t="s">
        <v>8</v>
      </c>
      <c r="J1" s="9" t="s">
        <v>9</v>
      </c>
      <c r="K1" s="9" t="s">
        <v>10</v>
      </c>
      <c r="L1" s="9" t="s">
        <v>11</v>
      </c>
      <c r="M1" s="9" t="s">
        <v>12</v>
      </c>
    </row>
    <row r="2" spans="1:13">
      <c r="A2" t="s">
        <v>13</v>
      </c>
      <c r="B2" t="s">
        <v>14</v>
      </c>
      <c r="D2" t="s">
        <v>15</v>
      </c>
      <c r="E2" s="36" t="s">
        <v>16</v>
      </c>
      <c r="F2" t="s">
        <v>17</v>
      </c>
    </row>
    <row r="3" spans="1:13" ht="16.5">
      <c r="A3" s="57" t="s">
        <v>18</v>
      </c>
      <c r="B3" t="s">
        <v>14</v>
      </c>
      <c r="D3" t="s">
        <v>15</v>
      </c>
      <c r="E3" s="36" t="s">
        <v>16</v>
      </c>
      <c r="F3" t="s">
        <v>17</v>
      </c>
    </row>
    <row r="4" spans="1:13" ht="16.5">
      <c r="A4" s="57" t="s">
        <v>19</v>
      </c>
      <c r="B4" t="s">
        <v>14</v>
      </c>
      <c r="D4" t="s">
        <v>15</v>
      </c>
      <c r="E4" s="36" t="s">
        <v>16</v>
      </c>
      <c r="F4" t="s">
        <v>17</v>
      </c>
    </row>
    <row r="5" spans="1:13" ht="16.5">
      <c r="A5" s="57" t="s">
        <v>20</v>
      </c>
      <c r="B5" t="s">
        <v>14</v>
      </c>
      <c r="D5" t="s">
        <v>15</v>
      </c>
      <c r="E5" s="36" t="s">
        <v>16</v>
      </c>
      <c r="F5" t="s">
        <v>17</v>
      </c>
    </row>
    <row r="6" spans="1:13">
      <c r="A6" t="s">
        <v>21</v>
      </c>
      <c r="B6" t="s">
        <v>22</v>
      </c>
      <c r="D6" t="s">
        <v>15</v>
      </c>
      <c r="E6" t="s">
        <v>17</v>
      </c>
      <c r="F6" t="s">
        <v>23</v>
      </c>
    </row>
    <row r="7" spans="1:13" ht="16.5">
      <c r="A7" s="57" t="s">
        <v>24</v>
      </c>
      <c r="B7" t="s">
        <v>14</v>
      </c>
      <c r="D7" t="s">
        <v>15</v>
      </c>
      <c r="E7" s="36" t="s">
        <v>16</v>
      </c>
      <c r="F7" t="s">
        <v>17</v>
      </c>
    </row>
    <row r="8" spans="1:13">
      <c r="A8" t="s">
        <v>25</v>
      </c>
      <c r="B8" t="s">
        <v>26</v>
      </c>
      <c r="D8" t="s">
        <v>27</v>
      </c>
      <c r="E8" t="s">
        <v>17</v>
      </c>
      <c r="F8" t="s">
        <v>28</v>
      </c>
    </row>
    <row r="9" spans="1:13">
      <c r="A9" t="s">
        <v>29</v>
      </c>
      <c r="B9" t="s">
        <v>26</v>
      </c>
      <c r="D9" t="s">
        <v>30</v>
      </c>
      <c r="F9"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39E3C-A29B-445E-B21E-EFC10FE37038}">
  <dimension ref="A1:N49"/>
  <sheetViews>
    <sheetView zoomScaleNormal="100" zoomScaleSheetLayoutView="100" workbookViewId="0">
      <selection activeCell="B16" sqref="B16"/>
    </sheetView>
  </sheetViews>
  <sheetFormatPr defaultRowHeight="15"/>
  <cols>
    <col min="1" max="1" width="30.7109375" customWidth="1"/>
    <col min="2" max="4" width="24" customWidth="1"/>
    <col min="6" max="7" width="21.42578125" customWidth="1"/>
    <col min="9" max="9" width="29" customWidth="1"/>
    <col min="10" max="10" width="22.28515625" customWidth="1"/>
    <col min="11" max="11" width="12" customWidth="1"/>
  </cols>
  <sheetData>
    <row r="1" spans="1:14">
      <c r="A1" s="9" t="s">
        <v>0</v>
      </c>
      <c r="B1" s="9" t="s">
        <v>31</v>
      </c>
      <c r="C1" s="9" t="s">
        <v>32</v>
      </c>
      <c r="D1" s="9" t="s">
        <v>33</v>
      </c>
      <c r="E1" s="9" t="s">
        <v>1</v>
      </c>
      <c r="F1" s="9" t="s">
        <v>2</v>
      </c>
      <c r="G1" s="9" t="s">
        <v>31</v>
      </c>
      <c r="H1" s="9" t="s">
        <v>32</v>
      </c>
      <c r="I1" s="34" t="s">
        <v>34</v>
      </c>
      <c r="J1" s="54" t="s">
        <v>35</v>
      </c>
      <c r="K1" s="9" t="s">
        <v>36</v>
      </c>
      <c r="L1" s="9" t="s">
        <v>37</v>
      </c>
      <c r="M1" s="9" t="s">
        <v>38</v>
      </c>
    </row>
    <row r="2" spans="1:14">
      <c r="A2" t="s">
        <v>39</v>
      </c>
      <c r="B2">
        <v>35</v>
      </c>
      <c r="C2">
        <v>14</v>
      </c>
      <c r="D2" t="s">
        <v>40</v>
      </c>
      <c r="E2" t="s">
        <v>41</v>
      </c>
      <c r="F2" t="s">
        <v>42</v>
      </c>
      <c r="G2">
        <v>35</v>
      </c>
      <c r="H2">
        <v>14</v>
      </c>
      <c r="I2" s="76" t="s">
        <v>43</v>
      </c>
      <c r="J2" s="76" t="s">
        <v>43</v>
      </c>
      <c r="K2">
        <f>G2*H2</f>
        <v>490</v>
      </c>
      <c r="L2">
        <f>K2*15</f>
        <v>7350</v>
      </c>
      <c r="M2">
        <f>L2/2</f>
        <v>3675</v>
      </c>
    </row>
    <row r="3" spans="1:14">
      <c r="A3" t="s">
        <v>44</v>
      </c>
      <c r="B3">
        <v>8</v>
      </c>
      <c r="C3">
        <v>14</v>
      </c>
      <c r="D3" t="s">
        <v>45</v>
      </c>
      <c r="E3" t="s">
        <v>41</v>
      </c>
      <c r="F3" t="s">
        <v>46</v>
      </c>
      <c r="G3">
        <v>8</v>
      </c>
      <c r="H3">
        <v>14</v>
      </c>
      <c r="I3" s="76" t="s">
        <v>47</v>
      </c>
      <c r="J3" t="s">
        <v>17</v>
      </c>
      <c r="K3">
        <f t="shared" ref="K3:K15" si="0">G3*H3</f>
        <v>112</v>
      </c>
      <c r="L3">
        <f t="shared" ref="L3:L15" si="1">K3*15</f>
        <v>1680</v>
      </c>
      <c r="M3">
        <f t="shared" ref="M3:M17" si="2">L3/2</f>
        <v>840</v>
      </c>
    </row>
    <row r="4" spans="1:14">
      <c r="A4" t="s">
        <v>48</v>
      </c>
      <c r="B4">
        <v>20</v>
      </c>
      <c r="C4">
        <v>14</v>
      </c>
      <c r="D4" t="s">
        <v>45</v>
      </c>
      <c r="E4" t="s">
        <v>49</v>
      </c>
      <c r="F4" t="s">
        <v>46</v>
      </c>
      <c r="G4">
        <v>20</v>
      </c>
      <c r="H4">
        <v>14</v>
      </c>
      <c r="I4" s="76" t="s">
        <v>47</v>
      </c>
      <c r="J4" t="s">
        <v>17</v>
      </c>
      <c r="K4">
        <f t="shared" si="0"/>
        <v>280</v>
      </c>
      <c r="L4">
        <f t="shared" si="1"/>
        <v>4200</v>
      </c>
      <c r="M4">
        <f t="shared" si="2"/>
        <v>2100</v>
      </c>
    </row>
    <row r="5" spans="1:14">
      <c r="A5" t="s">
        <v>50</v>
      </c>
      <c r="B5">
        <v>25</v>
      </c>
      <c r="C5">
        <v>14</v>
      </c>
      <c r="D5" t="s">
        <v>51</v>
      </c>
      <c r="E5" t="s">
        <v>41</v>
      </c>
      <c r="F5" t="s">
        <v>46</v>
      </c>
      <c r="I5" s="76" t="s">
        <v>47</v>
      </c>
      <c r="J5" t="s">
        <v>17</v>
      </c>
      <c r="K5">
        <f t="shared" si="0"/>
        <v>0</v>
      </c>
      <c r="L5">
        <f t="shared" si="1"/>
        <v>0</v>
      </c>
      <c r="M5">
        <f t="shared" si="2"/>
        <v>0</v>
      </c>
    </row>
    <row r="6" spans="1:14">
      <c r="A6" t="s">
        <v>52</v>
      </c>
      <c r="B6" s="77">
        <v>5</v>
      </c>
      <c r="C6" s="77">
        <v>14</v>
      </c>
      <c r="D6" t="s">
        <v>40</v>
      </c>
      <c r="E6" s="77" t="s">
        <v>41</v>
      </c>
      <c r="F6" t="s">
        <v>42</v>
      </c>
      <c r="G6" s="77">
        <v>5</v>
      </c>
      <c r="H6" s="77">
        <v>14</v>
      </c>
      <c r="I6" s="76" t="s">
        <v>47</v>
      </c>
      <c r="J6" s="77" t="s">
        <v>17</v>
      </c>
      <c r="K6">
        <f t="shared" si="0"/>
        <v>70</v>
      </c>
      <c r="L6">
        <f t="shared" si="1"/>
        <v>1050</v>
      </c>
      <c r="M6">
        <f t="shared" si="2"/>
        <v>525</v>
      </c>
    </row>
    <row r="7" spans="1:14">
      <c r="A7" t="s">
        <v>53</v>
      </c>
      <c r="B7" s="77">
        <v>30</v>
      </c>
      <c r="C7" s="77">
        <v>14</v>
      </c>
      <c r="D7" t="s">
        <v>51</v>
      </c>
      <c r="E7" s="77" t="s">
        <v>41</v>
      </c>
      <c r="F7" t="s">
        <v>46</v>
      </c>
      <c r="G7" s="77">
        <v>30</v>
      </c>
      <c r="H7" s="77">
        <v>14</v>
      </c>
      <c r="I7" s="76" t="s">
        <v>54</v>
      </c>
      <c r="J7" s="76" t="s">
        <v>17</v>
      </c>
      <c r="K7">
        <f t="shared" si="0"/>
        <v>420</v>
      </c>
      <c r="L7">
        <f t="shared" si="1"/>
        <v>6300</v>
      </c>
      <c r="M7">
        <f t="shared" si="2"/>
        <v>3150</v>
      </c>
    </row>
    <row r="8" spans="1:14">
      <c r="A8" t="s">
        <v>55</v>
      </c>
      <c r="B8">
        <v>15</v>
      </c>
      <c r="C8">
        <v>14</v>
      </c>
      <c r="D8" t="s">
        <v>40</v>
      </c>
      <c r="E8" t="s">
        <v>41</v>
      </c>
      <c r="F8" t="s">
        <v>42</v>
      </c>
      <c r="G8">
        <v>15</v>
      </c>
      <c r="H8">
        <v>14</v>
      </c>
      <c r="I8" s="76" t="s">
        <v>47</v>
      </c>
      <c r="J8" t="s">
        <v>17</v>
      </c>
      <c r="K8">
        <f t="shared" si="0"/>
        <v>210</v>
      </c>
      <c r="L8">
        <f t="shared" si="1"/>
        <v>3150</v>
      </c>
      <c r="M8">
        <f t="shared" si="2"/>
        <v>1575</v>
      </c>
    </row>
    <row r="9" spans="1:14" ht="16.5">
      <c r="A9" s="40" t="s">
        <v>56</v>
      </c>
      <c r="B9">
        <v>7.5</v>
      </c>
      <c r="C9">
        <v>14</v>
      </c>
      <c r="D9" s="40" t="s">
        <v>51</v>
      </c>
      <c r="E9" t="s">
        <v>41</v>
      </c>
      <c r="F9" t="s">
        <v>57</v>
      </c>
      <c r="G9">
        <v>7.5</v>
      </c>
      <c r="H9">
        <v>14</v>
      </c>
      <c r="I9" s="76" t="s">
        <v>47</v>
      </c>
      <c r="J9" t="s">
        <v>17</v>
      </c>
      <c r="K9">
        <f t="shared" si="0"/>
        <v>105</v>
      </c>
      <c r="L9">
        <f t="shared" si="1"/>
        <v>1575</v>
      </c>
      <c r="M9">
        <f t="shared" si="2"/>
        <v>787.5</v>
      </c>
    </row>
    <row r="10" spans="1:14">
      <c r="A10" t="s">
        <v>58</v>
      </c>
      <c r="B10">
        <v>10</v>
      </c>
      <c r="C10">
        <v>14</v>
      </c>
      <c r="D10" t="s">
        <v>59</v>
      </c>
      <c r="E10" t="s">
        <v>41</v>
      </c>
      <c r="F10" t="s">
        <v>57</v>
      </c>
      <c r="G10">
        <v>10</v>
      </c>
      <c r="H10">
        <v>14</v>
      </c>
      <c r="I10" s="76" t="s">
        <v>47</v>
      </c>
      <c r="J10" s="77" t="s">
        <v>17</v>
      </c>
      <c r="K10">
        <f t="shared" si="0"/>
        <v>140</v>
      </c>
      <c r="L10">
        <f t="shared" si="1"/>
        <v>2100</v>
      </c>
      <c r="M10">
        <f t="shared" si="2"/>
        <v>1050</v>
      </c>
    </row>
    <row r="11" spans="1:14">
      <c r="A11" t="s">
        <v>60</v>
      </c>
      <c r="B11">
        <v>0</v>
      </c>
      <c r="C11">
        <v>0</v>
      </c>
      <c r="D11" t="s">
        <v>51</v>
      </c>
      <c r="E11" t="s">
        <v>41</v>
      </c>
      <c r="F11" t="s">
        <v>57</v>
      </c>
      <c r="G11">
        <v>0</v>
      </c>
      <c r="H11">
        <v>0</v>
      </c>
      <c r="I11" s="76" t="s">
        <v>47</v>
      </c>
      <c r="J11" s="77" t="s">
        <v>17</v>
      </c>
      <c r="K11">
        <f t="shared" si="0"/>
        <v>0</v>
      </c>
      <c r="L11">
        <f t="shared" si="1"/>
        <v>0</v>
      </c>
      <c r="M11">
        <f t="shared" si="2"/>
        <v>0</v>
      </c>
    </row>
    <row r="12" spans="1:14">
      <c r="A12" t="s">
        <v>61</v>
      </c>
      <c r="B12">
        <v>7.5</v>
      </c>
      <c r="C12">
        <v>5</v>
      </c>
      <c r="D12" t="s">
        <v>40</v>
      </c>
      <c r="E12" t="s">
        <v>41</v>
      </c>
      <c r="F12" t="s">
        <v>42</v>
      </c>
      <c r="G12">
        <v>7.5</v>
      </c>
      <c r="H12">
        <v>5</v>
      </c>
      <c r="I12" s="76" t="s">
        <v>47</v>
      </c>
      <c r="J12" s="77" t="s">
        <v>17</v>
      </c>
      <c r="K12">
        <f t="shared" si="0"/>
        <v>37.5</v>
      </c>
      <c r="L12">
        <f t="shared" si="1"/>
        <v>562.5</v>
      </c>
      <c r="M12">
        <f t="shared" si="2"/>
        <v>281.25</v>
      </c>
      <c r="N12" t="s">
        <v>62</v>
      </c>
    </row>
    <row r="13" spans="1:14">
      <c r="A13" t="s">
        <v>63</v>
      </c>
      <c r="B13">
        <v>7.5</v>
      </c>
      <c r="C13">
        <v>14</v>
      </c>
      <c r="D13" t="s">
        <v>59</v>
      </c>
      <c r="E13" t="s">
        <v>41</v>
      </c>
      <c r="F13" t="s">
        <v>57</v>
      </c>
      <c r="G13">
        <v>7.5</v>
      </c>
      <c r="H13">
        <v>14</v>
      </c>
      <c r="I13" s="76" t="s">
        <v>47</v>
      </c>
      <c r="J13" s="77" t="s">
        <v>17</v>
      </c>
      <c r="K13">
        <f t="shared" si="0"/>
        <v>105</v>
      </c>
      <c r="L13">
        <f t="shared" si="1"/>
        <v>1575</v>
      </c>
      <c r="M13">
        <f t="shared" si="2"/>
        <v>787.5</v>
      </c>
    </row>
    <row r="14" spans="1:14">
      <c r="A14" t="s">
        <v>64</v>
      </c>
      <c r="B14">
        <v>0</v>
      </c>
      <c r="C14">
        <v>0</v>
      </c>
      <c r="D14" t="s">
        <v>51</v>
      </c>
      <c r="E14" t="s">
        <v>41</v>
      </c>
      <c r="F14" t="s">
        <v>57</v>
      </c>
      <c r="I14" s="76" t="s">
        <v>47</v>
      </c>
      <c r="J14" s="77" t="s">
        <v>17</v>
      </c>
      <c r="K14">
        <f t="shared" si="0"/>
        <v>0</v>
      </c>
      <c r="L14">
        <f t="shared" si="1"/>
        <v>0</v>
      </c>
      <c r="M14">
        <f t="shared" si="2"/>
        <v>0</v>
      </c>
    </row>
    <row r="15" spans="1:14">
      <c r="A15" t="s">
        <v>65</v>
      </c>
      <c r="B15">
        <v>10</v>
      </c>
      <c r="C15">
        <v>14</v>
      </c>
      <c r="D15" t="s">
        <v>59</v>
      </c>
      <c r="E15" t="s">
        <v>41</v>
      </c>
      <c r="F15" t="s">
        <v>57</v>
      </c>
      <c r="G15">
        <v>10</v>
      </c>
      <c r="H15">
        <v>14</v>
      </c>
      <c r="I15" s="76" t="s">
        <v>47</v>
      </c>
      <c r="J15" s="77" t="s">
        <v>17</v>
      </c>
      <c r="K15">
        <f t="shared" si="0"/>
        <v>140</v>
      </c>
      <c r="L15">
        <f t="shared" si="1"/>
        <v>2100</v>
      </c>
      <c r="M15">
        <f t="shared" si="2"/>
        <v>1050</v>
      </c>
    </row>
    <row r="16" spans="1:14">
      <c r="A16" t="s">
        <v>66</v>
      </c>
      <c r="B16">
        <v>20</v>
      </c>
      <c r="C16">
        <v>14</v>
      </c>
      <c r="D16" t="s">
        <v>45</v>
      </c>
      <c r="E16" t="s">
        <v>41</v>
      </c>
      <c r="F16" t="s">
        <v>46</v>
      </c>
      <c r="G16">
        <v>35</v>
      </c>
      <c r="H16">
        <v>14</v>
      </c>
      <c r="I16" s="76" t="s">
        <v>47</v>
      </c>
      <c r="J16" t="s">
        <v>17</v>
      </c>
      <c r="K16">
        <f>G16*H16</f>
        <v>490</v>
      </c>
      <c r="L16">
        <f>K16*15</f>
        <v>7350</v>
      </c>
      <c r="M16">
        <f>L16/2</f>
        <v>3675</v>
      </c>
    </row>
    <row r="17" spans="1:14">
      <c r="A17" t="s">
        <v>67</v>
      </c>
      <c r="B17">
        <v>2.5</v>
      </c>
      <c r="C17">
        <v>14</v>
      </c>
      <c r="E17" t="s">
        <v>41</v>
      </c>
      <c r="F17" t="s">
        <v>68</v>
      </c>
      <c r="G17">
        <v>2.5</v>
      </c>
      <c r="H17">
        <v>14</v>
      </c>
      <c r="I17" s="76" t="s">
        <v>47</v>
      </c>
      <c r="J17" t="s">
        <v>17</v>
      </c>
      <c r="K17">
        <f t="shared" ref="K17" si="3">G17*H17</f>
        <v>35</v>
      </c>
      <c r="L17">
        <f t="shared" ref="L17" si="4">K17*15</f>
        <v>525</v>
      </c>
      <c r="M17">
        <f t="shared" si="2"/>
        <v>262.5</v>
      </c>
    </row>
    <row r="18" spans="1:14">
      <c r="A18" t="s">
        <v>69</v>
      </c>
      <c r="E18" t="s">
        <v>70</v>
      </c>
      <c r="F18" t="s">
        <v>71</v>
      </c>
      <c r="I18" t="s">
        <v>17</v>
      </c>
      <c r="J18" t="s">
        <v>17</v>
      </c>
      <c r="K18">
        <f>G18*H18</f>
        <v>0</v>
      </c>
      <c r="L18">
        <f>K18*15</f>
        <v>0</v>
      </c>
      <c r="M18">
        <f>L18/2</f>
        <v>0</v>
      </c>
      <c r="N18" t="s">
        <v>72</v>
      </c>
    </row>
    <row r="27" spans="1:14">
      <c r="I27" s="76"/>
    </row>
    <row r="45" spans="1:4">
      <c r="A45" s="9"/>
      <c r="B45" s="9"/>
      <c r="C45" s="9"/>
      <c r="D45" s="9"/>
    </row>
    <row r="46" spans="1:4">
      <c r="A46" s="9"/>
      <c r="B46" s="9"/>
      <c r="C46" s="9"/>
      <c r="D46" s="9"/>
    </row>
    <row r="47" spans="1:4">
      <c r="A47" s="9"/>
      <c r="B47" s="9"/>
      <c r="C47" s="9"/>
      <c r="D47" s="9"/>
    </row>
    <row r="48" spans="1:4">
      <c r="A48" s="9"/>
      <c r="B48" s="9"/>
      <c r="C48" s="9"/>
      <c r="D48" s="9"/>
    </row>
    <row r="49" spans="1:4">
      <c r="A49" s="9"/>
      <c r="B49" s="9"/>
      <c r="C49" s="9"/>
      <c r="D49"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6AA53-8D10-4470-9791-94CEBC856E4F}">
  <dimension ref="A1:M50"/>
  <sheetViews>
    <sheetView topLeftCell="A22" workbookViewId="0">
      <selection activeCell="F49" sqref="F49"/>
    </sheetView>
  </sheetViews>
  <sheetFormatPr defaultRowHeight="15"/>
  <cols>
    <col min="1" max="1" width="21.42578125" customWidth="1"/>
    <col min="3" max="3" width="20.85546875" bestFit="1" customWidth="1"/>
    <col min="4" max="4" width="15.7109375" bestFit="1" customWidth="1"/>
    <col min="5" max="5" width="47.85546875" style="36" bestFit="1" customWidth="1"/>
    <col min="6" max="6" width="94.85546875" style="55" bestFit="1" customWidth="1"/>
  </cols>
  <sheetData>
    <row r="1" spans="1:13">
      <c r="A1" s="9" t="s">
        <v>0</v>
      </c>
      <c r="B1" s="9" t="s">
        <v>1</v>
      </c>
      <c r="C1" s="9" t="s">
        <v>2</v>
      </c>
      <c r="D1" s="9" t="s">
        <v>3</v>
      </c>
      <c r="E1" s="34" t="s">
        <v>4</v>
      </c>
      <c r="F1" s="54" t="s">
        <v>5</v>
      </c>
      <c r="G1" s="9" t="s">
        <v>6</v>
      </c>
      <c r="H1" s="9" t="s">
        <v>7</v>
      </c>
      <c r="I1" s="9" t="s">
        <v>8</v>
      </c>
      <c r="J1" s="9" t="s">
        <v>9</v>
      </c>
      <c r="K1" s="9" t="s">
        <v>10</v>
      </c>
      <c r="L1" s="9" t="s">
        <v>11</v>
      </c>
      <c r="M1" s="9" t="s">
        <v>12</v>
      </c>
    </row>
    <row r="2" spans="1:13" ht="16.5">
      <c r="A2" s="40" t="s">
        <v>56</v>
      </c>
      <c r="B2" t="s">
        <v>49</v>
      </c>
      <c r="E2" s="36" t="s">
        <v>73</v>
      </c>
      <c r="F2" s="55" t="s">
        <v>74</v>
      </c>
    </row>
    <row r="3" spans="1:13">
      <c r="A3" t="s">
        <v>58</v>
      </c>
      <c r="B3" t="s">
        <v>41</v>
      </c>
      <c r="E3" s="36" t="s">
        <v>73</v>
      </c>
      <c r="F3" s="55" t="s">
        <v>74</v>
      </c>
    </row>
    <row r="4" spans="1:13">
      <c r="A4" t="s">
        <v>75</v>
      </c>
      <c r="B4" t="s">
        <v>76</v>
      </c>
      <c r="C4" s="49"/>
      <c r="E4" s="36" t="s">
        <v>73</v>
      </c>
      <c r="F4" s="55" t="s">
        <v>74</v>
      </c>
    </row>
    <row r="5" spans="1:13">
      <c r="A5" t="s">
        <v>77</v>
      </c>
      <c r="B5" t="s">
        <v>76</v>
      </c>
      <c r="C5" s="49"/>
      <c r="E5" s="36" t="s">
        <v>73</v>
      </c>
      <c r="F5" s="55" t="s">
        <v>74</v>
      </c>
    </row>
    <row r="6" spans="1:13">
      <c r="A6" t="s">
        <v>78</v>
      </c>
      <c r="B6" t="s">
        <v>76</v>
      </c>
      <c r="C6" s="49"/>
      <c r="E6" s="36" t="s">
        <v>73</v>
      </c>
      <c r="F6" s="55" t="s">
        <v>74</v>
      </c>
    </row>
    <row r="7" spans="1:13">
      <c r="A7" t="s">
        <v>79</v>
      </c>
      <c r="B7" t="s">
        <v>76</v>
      </c>
      <c r="C7" s="49"/>
      <c r="E7" s="36" t="s">
        <v>73</v>
      </c>
    </row>
    <row r="8" spans="1:13">
      <c r="A8" t="s">
        <v>80</v>
      </c>
      <c r="B8" t="s">
        <v>76</v>
      </c>
      <c r="C8" s="49"/>
      <c r="E8" s="36" t="s">
        <v>73</v>
      </c>
      <c r="F8" s="55" t="s">
        <v>74</v>
      </c>
    </row>
    <row r="9" spans="1:13">
      <c r="A9" t="s">
        <v>60</v>
      </c>
      <c r="B9" t="s">
        <v>76</v>
      </c>
      <c r="C9" s="49"/>
      <c r="E9" s="36" t="s">
        <v>81</v>
      </c>
      <c r="F9" s="55" t="s">
        <v>74</v>
      </c>
    </row>
    <row r="10" spans="1:13">
      <c r="A10" t="s">
        <v>82</v>
      </c>
      <c r="B10" t="s">
        <v>76</v>
      </c>
      <c r="C10" s="49"/>
      <c r="E10" s="36" t="s">
        <v>81</v>
      </c>
      <c r="F10" s="55" t="s">
        <v>74</v>
      </c>
    </row>
    <row r="11" spans="1:13">
      <c r="A11" t="s">
        <v>83</v>
      </c>
      <c r="B11" t="s">
        <v>84</v>
      </c>
      <c r="E11" s="36" t="s">
        <v>85</v>
      </c>
      <c r="F11" s="55" t="s">
        <v>85</v>
      </c>
    </row>
    <row r="12" spans="1:13">
      <c r="A12" t="s">
        <v>86</v>
      </c>
      <c r="B12" t="s">
        <v>87</v>
      </c>
      <c r="E12" s="36" t="s">
        <v>74</v>
      </c>
      <c r="F12" s="55" t="s">
        <v>88</v>
      </c>
    </row>
    <row r="13" spans="1:13">
      <c r="A13" t="s">
        <v>89</v>
      </c>
      <c r="B13" t="s">
        <v>90</v>
      </c>
      <c r="E13" s="64" t="s">
        <v>91</v>
      </c>
      <c r="F13" s="56" t="s">
        <v>91</v>
      </c>
    </row>
    <row r="14" spans="1:13">
      <c r="A14" s="3" t="s">
        <v>92</v>
      </c>
      <c r="B14" s="3" t="s">
        <v>93</v>
      </c>
      <c r="E14" s="36" t="s">
        <v>74</v>
      </c>
      <c r="F14" s="55" t="s">
        <v>94</v>
      </c>
    </row>
    <row r="15" spans="1:13">
      <c r="A15" s="3" t="s">
        <v>95</v>
      </c>
      <c r="B15" s="3" t="s">
        <v>93</v>
      </c>
      <c r="E15" s="36" t="s">
        <v>74</v>
      </c>
      <c r="F15" s="55" t="s">
        <v>96</v>
      </c>
    </row>
    <row r="16" spans="1:13">
      <c r="A16" s="3" t="s">
        <v>97</v>
      </c>
      <c r="B16" s="3" t="s">
        <v>90</v>
      </c>
      <c r="E16" s="64" t="s">
        <v>91</v>
      </c>
      <c r="F16" s="56" t="s">
        <v>91</v>
      </c>
    </row>
    <row r="17" spans="1:6" ht="16.5">
      <c r="A17" s="3" t="s">
        <v>98</v>
      </c>
      <c r="B17" s="3" t="s">
        <v>99</v>
      </c>
      <c r="E17" s="65" t="s">
        <v>100</v>
      </c>
      <c r="F17" s="55" t="s">
        <v>74</v>
      </c>
    </row>
    <row r="18" spans="1:6">
      <c r="A18" t="s">
        <v>101</v>
      </c>
      <c r="B18" t="s">
        <v>14</v>
      </c>
      <c r="E18" s="36" t="s">
        <v>74</v>
      </c>
      <c r="F18" s="55" t="s">
        <v>102</v>
      </c>
    </row>
    <row r="19" spans="1:6">
      <c r="A19" t="s">
        <v>103</v>
      </c>
      <c r="B19" t="s">
        <v>14</v>
      </c>
      <c r="E19" s="36" t="s">
        <v>74</v>
      </c>
      <c r="F19" s="55" t="s">
        <v>102</v>
      </c>
    </row>
    <row r="20" spans="1:6">
      <c r="A20" t="s">
        <v>104</v>
      </c>
      <c r="B20" t="s">
        <v>14</v>
      </c>
      <c r="E20" s="36" t="s">
        <v>74</v>
      </c>
      <c r="F20" s="55" t="s">
        <v>102</v>
      </c>
    </row>
    <row r="21" spans="1:6" ht="16.5">
      <c r="A21" t="s">
        <v>105</v>
      </c>
      <c r="B21" t="s">
        <v>87</v>
      </c>
      <c r="E21" s="36" t="s">
        <v>106</v>
      </c>
      <c r="F21" s="58" t="s">
        <v>107</v>
      </c>
    </row>
    <row r="22" spans="1:6">
      <c r="A22" t="s">
        <v>108</v>
      </c>
      <c r="B22" t="s">
        <v>14</v>
      </c>
      <c r="E22" s="36" t="s">
        <v>102</v>
      </c>
      <c r="F22" s="55" t="s">
        <v>74</v>
      </c>
    </row>
    <row r="23" spans="1:6">
      <c r="A23" t="s">
        <v>109</v>
      </c>
      <c r="B23" t="s">
        <v>14</v>
      </c>
      <c r="E23" s="36" t="s">
        <v>102</v>
      </c>
      <c r="F23" s="55" t="s">
        <v>74</v>
      </c>
    </row>
    <row r="24" spans="1:6">
      <c r="A24" t="s">
        <v>110</v>
      </c>
      <c r="B24" t="s">
        <v>14</v>
      </c>
      <c r="E24" s="36" t="s">
        <v>102</v>
      </c>
      <c r="F24" s="55" t="s">
        <v>74</v>
      </c>
    </row>
    <row r="25" spans="1:6" s="14" customFormat="1">
      <c r="A25" s="59" t="s">
        <v>111</v>
      </c>
      <c r="B25" s="14" t="s">
        <v>90</v>
      </c>
      <c r="E25" s="66"/>
      <c r="F25" s="60"/>
    </row>
    <row r="26" spans="1:6" ht="16.5">
      <c r="A26" s="57" t="s">
        <v>112</v>
      </c>
      <c r="B26" t="s">
        <v>22</v>
      </c>
      <c r="E26" s="36" t="s">
        <v>113</v>
      </c>
      <c r="F26" s="55" t="s">
        <v>74</v>
      </c>
    </row>
    <row r="27" spans="1:6" s="70" customFormat="1">
      <c r="A27" s="69" t="s">
        <v>114</v>
      </c>
      <c r="B27" s="70" t="s">
        <v>115</v>
      </c>
      <c r="D27" s="70" t="s">
        <v>116</v>
      </c>
      <c r="E27" s="71" t="s">
        <v>117</v>
      </c>
      <c r="F27" s="72" t="s">
        <v>74</v>
      </c>
    </row>
    <row r="28" spans="1:6">
      <c r="A28" s="61" t="s">
        <v>118</v>
      </c>
      <c r="B28" t="s">
        <v>115</v>
      </c>
      <c r="E28" s="38" t="s">
        <v>119</v>
      </c>
      <c r="F28" s="61" t="s">
        <v>119</v>
      </c>
    </row>
    <row r="29" spans="1:6">
      <c r="A29" s="61" t="s">
        <v>120</v>
      </c>
      <c r="B29" t="s">
        <v>115</v>
      </c>
      <c r="E29" s="67" t="s">
        <v>117</v>
      </c>
      <c r="F29" s="62" t="s">
        <v>117</v>
      </c>
    </row>
    <row r="30" spans="1:6">
      <c r="A30" t="s">
        <v>121</v>
      </c>
      <c r="B30" t="s">
        <v>22</v>
      </c>
      <c r="E30" s="36" t="s">
        <v>74</v>
      </c>
      <c r="F30" s="55" t="s">
        <v>122</v>
      </c>
    </row>
    <row r="31" spans="1:6">
      <c r="A31" s="63" t="s">
        <v>123</v>
      </c>
      <c r="B31" t="s">
        <v>124</v>
      </c>
      <c r="E31" s="68">
        <v>120000000791</v>
      </c>
      <c r="F31" s="55" t="s">
        <v>125</v>
      </c>
    </row>
    <row r="32" spans="1:6">
      <c r="A32" t="s">
        <v>126</v>
      </c>
      <c r="B32" t="s">
        <v>115</v>
      </c>
      <c r="E32" s="36" t="s">
        <v>127</v>
      </c>
      <c r="F32" s="75" t="s">
        <v>128</v>
      </c>
    </row>
    <row r="33" spans="1:7">
      <c r="A33" t="s">
        <v>13</v>
      </c>
      <c r="B33" t="s">
        <v>14</v>
      </c>
      <c r="F33" s="55" t="s">
        <v>74</v>
      </c>
    </row>
    <row r="34" spans="1:7" ht="16.5">
      <c r="A34" s="57" t="s">
        <v>18</v>
      </c>
      <c r="B34" t="s">
        <v>14</v>
      </c>
      <c r="F34" s="55" t="s">
        <v>74</v>
      </c>
    </row>
    <row r="35" spans="1:7" ht="16.5">
      <c r="A35" s="57" t="s">
        <v>19</v>
      </c>
      <c r="B35" t="s">
        <v>14</v>
      </c>
      <c r="F35" s="55" t="s">
        <v>74</v>
      </c>
    </row>
    <row r="36" spans="1:7" ht="16.5">
      <c r="A36" s="57" t="s">
        <v>20</v>
      </c>
      <c r="B36" t="s">
        <v>14</v>
      </c>
      <c r="F36" s="55" t="s">
        <v>74</v>
      </c>
    </row>
    <row r="37" spans="1:7">
      <c r="A37" t="s">
        <v>21</v>
      </c>
      <c r="B37" t="s">
        <v>22</v>
      </c>
      <c r="F37" s="55" t="s">
        <v>129</v>
      </c>
    </row>
    <row r="38" spans="1:7">
      <c r="A38" t="s">
        <v>61</v>
      </c>
      <c r="B38" t="s">
        <v>76</v>
      </c>
      <c r="F38" s="76" t="s">
        <v>47</v>
      </c>
    </row>
    <row r="39" spans="1:7" ht="16.5">
      <c r="A39" s="57" t="s">
        <v>24</v>
      </c>
      <c r="B39" t="s">
        <v>14</v>
      </c>
      <c r="F39" s="55" t="s">
        <v>74</v>
      </c>
    </row>
    <row r="40" spans="1:7">
      <c r="A40" t="s">
        <v>130</v>
      </c>
      <c r="B40" t="s">
        <v>115</v>
      </c>
      <c r="F40" s="55" t="s">
        <v>131</v>
      </c>
    </row>
    <row r="41" spans="1:7">
      <c r="A41" t="s">
        <v>63</v>
      </c>
      <c r="B41" t="s">
        <v>76</v>
      </c>
      <c r="F41" s="55" t="s">
        <v>132</v>
      </c>
    </row>
    <row r="42" spans="1:7">
      <c r="A42" t="s">
        <v>64</v>
      </c>
      <c r="B42" t="s">
        <v>133</v>
      </c>
      <c r="F42" s="55" t="s">
        <v>132</v>
      </c>
    </row>
    <row r="43" spans="1:7">
      <c r="A43" t="s">
        <v>134</v>
      </c>
      <c r="B43" t="s">
        <v>135</v>
      </c>
      <c r="F43" s="55" t="s">
        <v>136</v>
      </c>
    </row>
    <row r="44" spans="1:7">
      <c r="A44" t="s">
        <v>65</v>
      </c>
      <c r="B44" t="s">
        <v>133</v>
      </c>
      <c r="F44" s="76" t="s">
        <v>47</v>
      </c>
    </row>
    <row r="45" spans="1:7">
      <c r="A45" t="s">
        <v>137</v>
      </c>
      <c r="B45" t="s">
        <v>133</v>
      </c>
      <c r="F45" s="55" t="s">
        <v>138</v>
      </c>
    </row>
    <row r="46" spans="1:7">
      <c r="A46" t="s">
        <v>139</v>
      </c>
      <c r="B46" t="s">
        <v>140</v>
      </c>
      <c r="E46" s="36" t="s">
        <v>141</v>
      </c>
      <c r="F46" s="55" t="s">
        <v>142</v>
      </c>
      <c r="G46" t="s">
        <v>143</v>
      </c>
    </row>
    <row r="47" spans="1:7">
      <c r="A47" t="s">
        <v>39</v>
      </c>
      <c r="B47" t="s">
        <v>133</v>
      </c>
      <c r="F47" s="55" t="s">
        <v>144</v>
      </c>
    </row>
    <row r="48" spans="1:7">
      <c r="A48" t="s">
        <v>145</v>
      </c>
      <c r="B48" t="s">
        <v>146</v>
      </c>
      <c r="E48" s="36" t="s">
        <v>141</v>
      </c>
      <c r="F48" s="55" t="s">
        <v>74</v>
      </c>
    </row>
    <row r="49" spans="1:7">
      <c r="A49" t="s">
        <v>147</v>
      </c>
      <c r="B49" t="s">
        <v>148</v>
      </c>
      <c r="E49" s="36" t="s">
        <v>141</v>
      </c>
      <c r="F49" s="55" t="s">
        <v>149</v>
      </c>
      <c r="G49" t="s">
        <v>150</v>
      </c>
    </row>
    <row r="50" spans="1:7">
      <c r="A50" t="s">
        <v>151</v>
      </c>
      <c r="B50" t="s">
        <v>152</v>
      </c>
      <c r="E50" s="36" t="s">
        <v>141</v>
      </c>
      <c r="F50" s="55" t="s">
        <v>17</v>
      </c>
      <c r="G50"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7CB4-1B4D-4BE7-BDF4-94586D546084}">
  <dimension ref="A1:H16"/>
  <sheetViews>
    <sheetView workbookViewId="0">
      <selection activeCell="B21" sqref="B21"/>
    </sheetView>
  </sheetViews>
  <sheetFormatPr defaultRowHeight="15"/>
  <cols>
    <col min="1" max="1" width="22.5703125" customWidth="1"/>
    <col min="2" max="2" width="22.140625" customWidth="1"/>
    <col min="3" max="3" width="37" style="49" hidden="1" customWidth="1"/>
    <col min="4" max="4" width="18.42578125" hidden="1" customWidth="1"/>
    <col min="5" max="5" width="22.140625" hidden="1" customWidth="1"/>
    <col min="6" max="6" width="49" style="36" customWidth="1"/>
    <col min="7" max="7" width="36.28515625" style="36" customWidth="1"/>
  </cols>
  <sheetData>
    <row r="1" spans="1:8" s="9" customFormat="1">
      <c r="A1" s="9" t="s">
        <v>0</v>
      </c>
      <c r="B1" s="9" t="s">
        <v>1</v>
      </c>
      <c r="C1" s="48" t="s">
        <v>154</v>
      </c>
      <c r="D1" s="9" t="s">
        <v>2</v>
      </c>
      <c r="E1" s="9" t="s">
        <v>3</v>
      </c>
      <c r="F1" s="34" t="s">
        <v>155</v>
      </c>
      <c r="G1" s="34" t="s">
        <v>156</v>
      </c>
    </row>
    <row r="2" spans="1:8">
      <c r="A2" t="s">
        <v>83</v>
      </c>
      <c r="B2" t="s">
        <v>84</v>
      </c>
      <c r="C2" s="49" t="s">
        <v>157</v>
      </c>
      <c r="F2" s="39"/>
      <c r="G2" s="42"/>
    </row>
    <row r="3" spans="1:8" s="4" customFormat="1">
      <c r="A3" s="4" t="s">
        <v>75</v>
      </c>
      <c r="B3" s="4" t="s">
        <v>76</v>
      </c>
      <c r="C3" s="50" t="s">
        <v>158</v>
      </c>
      <c r="F3" s="51" t="s">
        <v>73</v>
      </c>
      <c r="G3" s="51" t="s">
        <v>74</v>
      </c>
    </row>
    <row r="4" spans="1:8" s="4" customFormat="1">
      <c r="A4" s="4" t="s">
        <v>77</v>
      </c>
      <c r="B4" s="4" t="s">
        <v>76</v>
      </c>
      <c r="C4" s="50" t="s">
        <v>158</v>
      </c>
      <c r="F4" s="51" t="s">
        <v>73</v>
      </c>
      <c r="G4" s="51" t="s">
        <v>74</v>
      </c>
    </row>
    <row r="5" spans="1:8" s="52" customFormat="1">
      <c r="A5" s="4" t="s">
        <v>78</v>
      </c>
      <c r="B5" s="4" t="s">
        <v>76</v>
      </c>
      <c r="C5" s="50" t="s">
        <v>158</v>
      </c>
      <c r="D5" s="4"/>
      <c r="E5" s="4"/>
      <c r="F5" s="51" t="s">
        <v>73</v>
      </c>
      <c r="G5" s="51" t="s">
        <v>74</v>
      </c>
    </row>
    <row r="6" spans="1:8" s="4" customFormat="1">
      <c r="A6" s="4" t="s">
        <v>79</v>
      </c>
      <c r="B6" s="4" t="s">
        <v>76</v>
      </c>
      <c r="C6" s="50" t="s">
        <v>158</v>
      </c>
      <c r="F6" s="51" t="s">
        <v>73</v>
      </c>
      <c r="G6" s="51" t="s">
        <v>74</v>
      </c>
    </row>
    <row r="7" spans="1:8" s="4" customFormat="1">
      <c r="A7" s="4" t="s">
        <v>137</v>
      </c>
      <c r="B7" s="4" t="s">
        <v>76</v>
      </c>
      <c r="C7" s="50" t="s">
        <v>158</v>
      </c>
      <c r="D7" s="4" t="s">
        <v>159</v>
      </c>
      <c r="F7" s="51" t="s">
        <v>73</v>
      </c>
      <c r="G7" s="51" t="s">
        <v>74</v>
      </c>
    </row>
    <row r="8" spans="1:8" s="4" customFormat="1" ht="27.75">
      <c r="A8" s="4" t="s">
        <v>82</v>
      </c>
      <c r="B8" s="4" t="s">
        <v>76</v>
      </c>
      <c r="C8" s="50" t="s">
        <v>160</v>
      </c>
      <c r="F8" s="51" t="s">
        <v>132</v>
      </c>
      <c r="G8" s="51" t="s">
        <v>74</v>
      </c>
    </row>
    <row r="9" spans="1:8" s="4" customFormat="1">
      <c r="A9" s="4" t="s">
        <v>80</v>
      </c>
      <c r="B9" s="4" t="s">
        <v>76</v>
      </c>
      <c r="C9" s="50" t="s">
        <v>158</v>
      </c>
      <c r="F9" s="51" t="s">
        <v>73</v>
      </c>
      <c r="G9" s="51" t="s">
        <v>74</v>
      </c>
    </row>
    <row r="10" spans="1:8" ht="27.75">
      <c r="A10" t="s">
        <v>60</v>
      </c>
      <c r="B10" t="s">
        <v>76</v>
      </c>
      <c r="C10" s="49" t="s">
        <v>160</v>
      </c>
      <c r="F10" s="36" t="s">
        <v>73</v>
      </c>
      <c r="G10" s="36" t="s">
        <v>74</v>
      </c>
    </row>
    <row r="11" spans="1:8" ht="16.5">
      <c r="A11" t="s">
        <v>86</v>
      </c>
      <c r="B11" t="s">
        <v>87</v>
      </c>
      <c r="C11" s="49" t="s">
        <v>161</v>
      </c>
      <c r="F11" s="40"/>
    </row>
    <row r="12" spans="1:8" s="4" customFormat="1">
      <c r="A12" s="4" t="s">
        <v>89</v>
      </c>
      <c r="B12" s="4" t="s">
        <v>162</v>
      </c>
      <c r="C12" s="50" t="s">
        <v>163</v>
      </c>
      <c r="D12" s="4" t="s">
        <v>164</v>
      </c>
      <c r="F12" s="51">
        <v>460000000761</v>
      </c>
      <c r="G12" s="51">
        <v>460000000761</v>
      </c>
    </row>
    <row r="13" spans="1:8" s="4" customFormat="1">
      <c r="A13" s="4" t="s">
        <v>92</v>
      </c>
      <c r="B13" s="4" t="s">
        <v>93</v>
      </c>
      <c r="C13" s="50" t="s">
        <v>161</v>
      </c>
      <c r="F13" s="51" t="s">
        <v>165</v>
      </c>
      <c r="G13" s="51" t="s">
        <v>166</v>
      </c>
      <c r="H13" s="4" t="s">
        <v>167</v>
      </c>
    </row>
    <row r="14" spans="1:8" s="4" customFormat="1">
      <c r="A14" s="4" t="s">
        <v>168</v>
      </c>
      <c r="B14" s="4" t="s">
        <v>93</v>
      </c>
      <c r="C14" s="50" t="s">
        <v>161</v>
      </c>
      <c r="F14" s="51" t="s">
        <v>165</v>
      </c>
      <c r="G14" s="51" t="s">
        <v>166</v>
      </c>
      <c r="H14" s="4" t="s">
        <v>167</v>
      </c>
    </row>
    <row r="15" spans="1:8">
      <c r="A15" t="s">
        <v>97</v>
      </c>
      <c r="B15" t="s">
        <v>93</v>
      </c>
      <c r="C15" s="49" t="s">
        <v>169</v>
      </c>
      <c r="F15" s="36">
        <v>500000007280</v>
      </c>
      <c r="G15" s="36">
        <v>500000007280</v>
      </c>
    </row>
    <row r="16" spans="1:8" ht="27.75">
      <c r="A16" t="s">
        <v>98</v>
      </c>
      <c r="B16" t="s">
        <v>99</v>
      </c>
      <c r="G16" s="53" t="s">
        <v>170</v>
      </c>
    </row>
  </sheetData>
  <sortState xmlns:xlrd2="http://schemas.microsoft.com/office/spreadsheetml/2017/richdata2" ref="A2:G17">
    <sortCondition ref="B2:B1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904B7-4747-4C9C-A804-C8EF5C10ADA5}">
  <dimension ref="A1:M25"/>
  <sheetViews>
    <sheetView topLeftCell="A2" workbookViewId="0">
      <selection activeCell="A28" sqref="A28"/>
    </sheetView>
  </sheetViews>
  <sheetFormatPr defaultRowHeight="15"/>
  <cols>
    <col min="1" max="1" width="22.5703125" customWidth="1"/>
    <col min="2" max="2" width="22.140625" customWidth="1"/>
    <col min="3" max="3" width="18.42578125" customWidth="1"/>
    <col min="4" max="4" width="22.140625" customWidth="1"/>
    <col min="5" max="5" width="53.140625" style="36" customWidth="1"/>
    <col min="6" max="6" width="60.42578125" style="36" customWidth="1"/>
  </cols>
  <sheetData>
    <row r="1" spans="1:13" s="9" customFormat="1">
      <c r="A1" s="9" t="s">
        <v>0</v>
      </c>
      <c r="B1" s="9" t="s">
        <v>1</v>
      </c>
      <c r="C1" s="9" t="s">
        <v>2</v>
      </c>
      <c r="D1" s="9" t="s">
        <v>3</v>
      </c>
      <c r="E1" s="34" t="s">
        <v>4</v>
      </c>
      <c r="F1" s="34" t="s">
        <v>5</v>
      </c>
      <c r="G1" s="9" t="s">
        <v>6</v>
      </c>
      <c r="H1" s="9" t="s">
        <v>7</v>
      </c>
      <c r="I1" s="9" t="s">
        <v>8</v>
      </c>
      <c r="J1" s="9" t="s">
        <v>9</v>
      </c>
      <c r="K1" s="9" t="s">
        <v>10</v>
      </c>
      <c r="L1" s="9" t="s">
        <v>11</v>
      </c>
      <c r="M1" s="9" t="s">
        <v>12</v>
      </c>
    </row>
    <row r="2" spans="1:13">
      <c r="A2" t="s">
        <v>92</v>
      </c>
      <c r="B2" t="s">
        <v>93</v>
      </c>
      <c r="E2" s="35" t="s">
        <v>74</v>
      </c>
      <c r="F2" s="36" t="s">
        <v>165</v>
      </c>
    </row>
    <row r="3" spans="1:13">
      <c r="A3" t="s">
        <v>95</v>
      </c>
      <c r="B3" t="s">
        <v>93</v>
      </c>
      <c r="E3" s="36" t="s">
        <v>74</v>
      </c>
      <c r="F3" s="36" t="s">
        <v>171</v>
      </c>
    </row>
    <row r="4" spans="1:13">
      <c r="A4" t="s">
        <v>168</v>
      </c>
      <c r="B4" t="s">
        <v>93</v>
      </c>
      <c r="E4" s="36" t="s">
        <v>74</v>
      </c>
      <c r="F4" s="36" t="s">
        <v>165</v>
      </c>
    </row>
    <row r="5" spans="1:13" s="43" customFormat="1">
      <c r="A5" s="43" t="s">
        <v>172</v>
      </c>
      <c r="B5" s="43" t="s">
        <v>93</v>
      </c>
      <c r="E5" s="44" t="s">
        <v>74</v>
      </c>
      <c r="F5" s="44" t="s">
        <v>171</v>
      </c>
    </row>
    <row r="6" spans="1:13" s="33" customFormat="1">
      <c r="A6" s="33" t="s">
        <v>173</v>
      </c>
      <c r="B6" s="33" t="s">
        <v>140</v>
      </c>
      <c r="C6" s="33" t="s">
        <v>174</v>
      </c>
      <c r="E6" s="37" t="s">
        <v>175</v>
      </c>
      <c r="F6" s="41" t="s">
        <v>74</v>
      </c>
    </row>
    <row r="7" spans="1:13" s="43" customFormat="1">
      <c r="A7" s="43" t="s">
        <v>176</v>
      </c>
      <c r="B7" s="43" t="s">
        <v>140</v>
      </c>
      <c r="C7" s="43" t="s">
        <v>174</v>
      </c>
      <c r="E7" s="45" t="s">
        <v>175</v>
      </c>
      <c r="F7" s="44" t="s">
        <v>74</v>
      </c>
    </row>
    <row r="8" spans="1:13">
      <c r="A8" t="s">
        <v>75</v>
      </c>
      <c r="B8" t="s">
        <v>76</v>
      </c>
      <c r="E8" s="36" t="s">
        <v>177</v>
      </c>
      <c r="F8" s="36" t="s">
        <v>74</v>
      </c>
    </row>
    <row r="9" spans="1:13">
      <c r="A9" t="s">
        <v>77</v>
      </c>
      <c r="B9" t="s">
        <v>76</v>
      </c>
      <c r="E9" s="36" t="s">
        <v>177</v>
      </c>
      <c r="F9" s="36" t="s">
        <v>74</v>
      </c>
    </row>
    <row r="10" spans="1:13">
      <c r="A10" t="s">
        <v>178</v>
      </c>
      <c r="B10" t="s">
        <v>152</v>
      </c>
      <c r="E10" s="36">
        <v>520000002598</v>
      </c>
      <c r="F10" s="36" t="s">
        <v>74</v>
      </c>
    </row>
    <row r="11" spans="1:13">
      <c r="A11" t="s">
        <v>78</v>
      </c>
      <c r="B11" t="s">
        <v>76</v>
      </c>
      <c r="E11" s="36" t="s">
        <v>177</v>
      </c>
      <c r="F11" s="36" t="s">
        <v>74</v>
      </c>
    </row>
    <row r="12" spans="1:13">
      <c r="A12" t="s">
        <v>179</v>
      </c>
      <c r="B12" t="s">
        <v>140</v>
      </c>
      <c r="C12" t="s">
        <v>180</v>
      </c>
      <c r="E12" s="38" t="s">
        <v>175</v>
      </c>
      <c r="F12" s="36" t="s">
        <v>74</v>
      </c>
    </row>
    <row r="13" spans="1:13" s="18" customFormat="1">
      <c r="A13" s="18" t="s">
        <v>181</v>
      </c>
      <c r="B13" s="18" t="s">
        <v>90</v>
      </c>
      <c r="E13" s="46" t="s">
        <v>182</v>
      </c>
      <c r="F13" s="46">
        <v>460000000761</v>
      </c>
    </row>
    <row r="14" spans="1:13">
      <c r="A14" t="s">
        <v>183</v>
      </c>
      <c r="B14" t="s">
        <v>146</v>
      </c>
      <c r="E14" s="39">
        <v>500000022255</v>
      </c>
      <c r="F14" s="42">
        <v>500000022255</v>
      </c>
    </row>
    <row r="15" spans="1:13">
      <c r="A15" t="s">
        <v>79</v>
      </c>
      <c r="B15" t="s">
        <v>76</v>
      </c>
      <c r="E15" s="36" t="s">
        <v>177</v>
      </c>
      <c r="F15" s="36" t="s">
        <v>74</v>
      </c>
    </row>
    <row r="16" spans="1:13">
      <c r="A16" t="s">
        <v>137</v>
      </c>
      <c r="B16" t="s">
        <v>76</v>
      </c>
      <c r="C16" t="s">
        <v>159</v>
      </c>
      <c r="E16" s="36" t="s">
        <v>177</v>
      </c>
      <c r="F16" s="36" t="s">
        <v>184</v>
      </c>
    </row>
    <row r="17" spans="1:6">
      <c r="A17" t="s">
        <v>82</v>
      </c>
      <c r="B17" t="s">
        <v>76</v>
      </c>
      <c r="E17" s="36" t="s">
        <v>74</v>
      </c>
      <c r="F17" s="36" t="s">
        <v>185</v>
      </c>
    </row>
    <row r="18" spans="1:6" ht="16.5">
      <c r="A18" t="s">
        <v>86</v>
      </c>
      <c r="B18" t="s">
        <v>87</v>
      </c>
      <c r="E18" s="40" t="s">
        <v>186</v>
      </c>
      <c r="F18" s="36" t="s">
        <v>74</v>
      </c>
    </row>
    <row r="19" spans="1:6">
      <c r="A19" t="s">
        <v>187</v>
      </c>
      <c r="B19" t="s">
        <v>188</v>
      </c>
      <c r="E19" s="36" t="s">
        <v>189</v>
      </c>
      <c r="F19" s="36" t="s">
        <v>190</v>
      </c>
    </row>
    <row r="20" spans="1:6">
      <c r="A20" t="s">
        <v>80</v>
      </c>
      <c r="B20" t="s">
        <v>76</v>
      </c>
      <c r="E20" s="36" t="s">
        <v>189</v>
      </c>
      <c r="F20" s="36" t="s">
        <v>191</v>
      </c>
    </row>
    <row r="21" spans="1:6">
      <c r="A21" t="s">
        <v>60</v>
      </c>
      <c r="B21" t="s">
        <v>76</v>
      </c>
      <c r="E21" s="36" t="s">
        <v>189</v>
      </c>
      <c r="F21" s="36" t="s">
        <v>185</v>
      </c>
    </row>
    <row r="22" spans="1:6">
      <c r="A22" t="s">
        <v>192</v>
      </c>
      <c r="B22" t="s">
        <v>76</v>
      </c>
      <c r="E22" s="36" t="s">
        <v>193</v>
      </c>
      <c r="F22" s="36" t="s">
        <v>17</v>
      </c>
    </row>
    <row r="23" spans="1:6">
      <c r="A23" t="s">
        <v>89</v>
      </c>
      <c r="B23" t="s">
        <v>162</v>
      </c>
      <c r="C23" t="s">
        <v>164</v>
      </c>
      <c r="E23" s="36" t="s">
        <v>189</v>
      </c>
      <c r="F23" s="36">
        <v>460000000761</v>
      </c>
    </row>
    <row r="24" spans="1:6">
      <c r="A24" s="47" t="s">
        <v>194</v>
      </c>
      <c r="B24" t="s">
        <v>140</v>
      </c>
      <c r="C24" t="s">
        <v>180</v>
      </c>
      <c r="E24" s="36" t="s">
        <v>189</v>
      </c>
    </row>
    <row r="25" spans="1:6">
      <c r="A25" t="s">
        <v>195</v>
      </c>
      <c r="B25" t="s">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D552-DD94-4822-BC64-42E589CDD53C}">
  <dimension ref="A1:L15"/>
  <sheetViews>
    <sheetView workbookViewId="0">
      <selection activeCell="A22" sqref="A22"/>
    </sheetView>
  </sheetViews>
  <sheetFormatPr defaultRowHeight="15"/>
  <cols>
    <col min="1" max="1" width="26.28515625" customWidth="1"/>
    <col min="2" max="2" width="11.140625" customWidth="1"/>
    <col min="5" max="5" width="38.28515625" customWidth="1"/>
  </cols>
  <sheetData>
    <row r="1" spans="1:12" s="9" customFormat="1">
      <c r="A1" s="9" t="s">
        <v>0</v>
      </c>
      <c r="B1" s="9" t="s">
        <v>1</v>
      </c>
      <c r="C1" s="9" t="s">
        <v>2</v>
      </c>
      <c r="D1" s="9" t="s">
        <v>3</v>
      </c>
      <c r="E1" s="9" t="s">
        <v>196</v>
      </c>
      <c r="F1" s="9" t="s">
        <v>6</v>
      </c>
      <c r="G1" s="9" t="s">
        <v>7</v>
      </c>
      <c r="H1" s="9" t="s">
        <v>8</v>
      </c>
      <c r="I1" s="9" t="s">
        <v>9</v>
      </c>
      <c r="J1" s="9" t="s">
        <v>10</v>
      </c>
      <c r="K1" s="9" t="s">
        <v>11</v>
      </c>
      <c r="L1" s="9" t="s">
        <v>12</v>
      </c>
    </row>
    <row r="2" spans="1:12">
      <c r="A2" t="s">
        <v>92</v>
      </c>
      <c r="B2" t="s">
        <v>93</v>
      </c>
      <c r="E2" s="32" t="s">
        <v>197</v>
      </c>
    </row>
    <row r="3" spans="1:12">
      <c r="A3" t="s">
        <v>75</v>
      </c>
      <c r="B3" t="s">
        <v>26</v>
      </c>
      <c r="E3" t="s">
        <v>198</v>
      </c>
    </row>
    <row r="4" spans="1:12">
      <c r="A4" t="s">
        <v>95</v>
      </c>
      <c r="B4" t="s">
        <v>93</v>
      </c>
      <c r="E4" t="s">
        <v>199</v>
      </c>
    </row>
    <row r="5" spans="1:12">
      <c r="A5" t="s">
        <v>168</v>
      </c>
      <c r="B5" t="s">
        <v>93</v>
      </c>
      <c r="E5" t="s">
        <v>199</v>
      </c>
    </row>
    <row r="6" spans="1:12">
      <c r="A6" t="s">
        <v>172</v>
      </c>
      <c r="B6" t="s">
        <v>93</v>
      </c>
      <c r="E6" t="s">
        <v>199</v>
      </c>
    </row>
    <row r="7" spans="1:12">
      <c r="A7" t="s">
        <v>200</v>
      </c>
      <c r="B7" t="s">
        <v>201</v>
      </c>
      <c r="E7" t="s">
        <v>202</v>
      </c>
    </row>
    <row r="8" spans="1:12">
      <c r="A8" t="s">
        <v>77</v>
      </c>
      <c r="B8" t="s">
        <v>26</v>
      </c>
      <c r="E8" t="s">
        <v>198</v>
      </c>
    </row>
    <row r="13" spans="1:12">
      <c r="E13" s="30"/>
      <c r="F13" s="31"/>
    </row>
    <row r="15" spans="1:12">
      <c r="E15" s="2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289B8-C40F-45D8-BF55-02459DD040E5}">
  <dimension ref="A1:M19"/>
  <sheetViews>
    <sheetView workbookViewId="0">
      <selection activeCell="C32" sqref="C32"/>
    </sheetView>
  </sheetViews>
  <sheetFormatPr defaultRowHeight="15"/>
  <cols>
    <col min="1" max="1" width="20.5703125" customWidth="1"/>
    <col min="2" max="2" width="15.28515625" customWidth="1"/>
    <col min="4" max="4" width="26.7109375" customWidth="1"/>
    <col min="5" max="5" width="14.85546875" customWidth="1"/>
    <col min="6" max="6" width="19.7109375" customWidth="1"/>
  </cols>
  <sheetData>
    <row r="1" spans="1:13" s="9" customFormat="1">
      <c r="A1" s="9" t="s">
        <v>0</v>
      </c>
      <c r="B1" s="9" t="s">
        <v>1</v>
      </c>
      <c r="C1" s="9" t="s">
        <v>2</v>
      </c>
      <c r="D1" s="9" t="s">
        <v>3</v>
      </c>
      <c r="E1" s="9" t="s">
        <v>4</v>
      </c>
      <c r="F1" s="9" t="s">
        <v>5</v>
      </c>
      <c r="G1" s="9" t="s">
        <v>6</v>
      </c>
      <c r="H1" s="9" t="s">
        <v>7</v>
      </c>
      <c r="I1" s="9" t="s">
        <v>8</v>
      </c>
      <c r="J1" s="9" t="s">
        <v>9</v>
      </c>
      <c r="K1" s="9" t="s">
        <v>10</v>
      </c>
      <c r="L1" s="9" t="s">
        <v>11</v>
      </c>
      <c r="M1" s="9" t="s">
        <v>12</v>
      </c>
    </row>
    <row r="2" spans="1:13">
      <c r="A2" t="s">
        <v>203</v>
      </c>
      <c r="B2" t="s">
        <v>76</v>
      </c>
      <c r="C2" t="s">
        <v>204</v>
      </c>
      <c r="E2" t="s">
        <v>205</v>
      </c>
      <c r="F2" t="s">
        <v>206</v>
      </c>
    </row>
    <row r="3" spans="1:13">
      <c r="A3" t="s">
        <v>207</v>
      </c>
      <c r="B3" t="s">
        <v>76</v>
      </c>
      <c r="C3" t="s">
        <v>204</v>
      </c>
      <c r="D3" t="s">
        <v>208</v>
      </c>
      <c r="E3" t="s">
        <v>205</v>
      </c>
      <c r="F3" t="s">
        <v>206</v>
      </c>
    </row>
    <row r="4" spans="1:13">
      <c r="A4" t="s">
        <v>209</v>
      </c>
      <c r="B4" t="s">
        <v>76</v>
      </c>
      <c r="C4" t="s">
        <v>210</v>
      </c>
      <c r="D4" t="s">
        <v>211</v>
      </c>
      <c r="E4" t="s">
        <v>205</v>
      </c>
      <c r="F4" t="s">
        <v>206</v>
      </c>
    </row>
    <row r="5" spans="1:13">
      <c r="A5" t="s">
        <v>212</v>
      </c>
      <c r="B5" t="s">
        <v>76</v>
      </c>
      <c r="C5" t="s">
        <v>210</v>
      </c>
      <c r="D5" t="s">
        <v>211</v>
      </c>
      <c r="E5" t="s">
        <v>205</v>
      </c>
      <c r="F5" t="s">
        <v>206</v>
      </c>
    </row>
    <row r="6" spans="1:13">
      <c r="A6" t="s">
        <v>95</v>
      </c>
      <c r="B6" t="s">
        <v>148</v>
      </c>
      <c r="E6" t="s">
        <v>199</v>
      </c>
      <c r="F6" t="s">
        <v>206</v>
      </c>
    </row>
    <row r="7" spans="1:13">
      <c r="A7" t="s">
        <v>168</v>
      </c>
      <c r="B7" t="s">
        <v>148</v>
      </c>
      <c r="E7" t="s">
        <v>199</v>
      </c>
      <c r="F7" t="s">
        <v>206</v>
      </c>
    </row>
    <row r="8" spans="1:13">
      <c r="A8" t="s">
        <v>172</v>
      </c>
      <c r="B8" t="s">
        <v>148</v>
      </c>
      <c r="E8" t="s">
        <v>199</v>
      </c>
      <c r="F8" t="s">
        <v>206</v>
      </c>
    </row>
    <row r="9" spans="1:13">
      <c r="A9" t="s">
        <v>213</v>
      </c>
      <c r="B9" t="s">
        <v>76</v>
      </c>
      <c r="C9" t="s">
        <v>204</v>
      </c>
      <c r="E9" t="s">
        <v>205</v>
      </c>
      <c r="F9" t="s">
        <v>206</v>
      </c>
    </row>
    <row r="10" spans="1:13">
      <c r="A10" t="s">
        <v>214</v>
      </c>
      <c r="B10" t="s">
        <v>152</v>
      </c>
      <c r="E10" t="s">
        <v>215</v>
      </c>
      <c r="F10" t="s">
        <v>206</v>
      </c>
    </row>
    <row r="11" spans="1:13">
      <c r="A11" t="s">
        <v>216</v>
      </c>
      <c r="B11" t="s">
        <v>152</v>
      </c>
      <c r="E11" t="s">
        <v>206</v>
      </c>
      <c r="F11" t="s">
        <v>215</v>
      </c>
    </row>
    <row r="12" spans="1:13">
      <c r="A12" t="s">
        <v>217</v>
      </c>
      <c r="B12" t="s">
        <v>218</v>
      </c>
      <c r="E12" t="s">
        <v>206</v>
      </c>
      <c r="F12" t="s">
        <v>219</v>
      </c>
    </row>
    <row r="13" spans="1:13">
      <c r="A13" t="s">
        <v>173</v>
      </c>
      <c r="B13" t="s">
        <v>140</v>
      </c>
      <c r="C13" t="s">
        <v>174</v>
      </c>
      <c r="E13" t="s">
        <v>220</v>
      </c>
      <c r="F13" t="s">
        <v>206</v>
      </c>
    </row>
    <row r="14" spans="1:13">
      <c r="A14" t="s">
        <v>176</v>
      </c>
      <c r="B14" t="s">
        <v>140</v>
      </c>
      <c r="C14" t="s">
        <v>174</v>
      </c>
      <c r="E14" t="s">
        <v>220</v>
      </c>
      <c r="F14" t="s">
        <v>206</v>
      </c>
    </row>
    <row r="15" spans="1:13">
      <c r="A15" t="s">
        <v>221</v>
      </c>
      <c r="B15" t="s">
        <v>222</v>
      </c>
      <c r="E15" s="30" t="s">
        <v>74</v>
      </c>
      <c r="F15" s="31" t="s">
        <v>223</v>
      </c>
    </row>
    <row r="16" spans="1:13">
      <c r="A16" t="s">
        <v>224</v>
      </c>
      <c r="B16" t="s">
        <v>76</v>
      </c>
      <c r="C16" t="s">
        <v>210</v>
      </c>
      <c r="E16" t="s">
        <v>205</v>
      </c>
      <c r="F16" t="s">
        <v>206</v>
      </c>
    </row>
    <row r="17" spans="1:7">
      <c r="A17" t="s">
        <v>225</v>
      </c>
      <c r="B17" t="s">
        <v>162</v>
      </c>
      <c r="E17" s="28" t="s">
        <v>226</v>
      </c>
      <c r="F17" t="s">
        <v>206</v>
      </c>
    </row>
    <row r="18" spans="1:7">
      <c r="A18" t="s">
        <v>227</v>
      </c>
      <c r="B18" t="s">
        <v>228</v>
      </c>
      <c r="F18" t="s">
        <v>17</v>
      </c>
      <c r="G18" t="s">
        <v>229</v>
      </c>
    </row>
    <row r="19" spans="1:7">
      <c r="A19" t="s">
        <v>230</v>
      </c>
      <c r="B19" t="s">
        <v>140</v>
      </c>
      <c r="F19" t="s">
        <v>206</v>
      </c>
      <c r="G19" t="s">
        <v>231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5AFEC-8F11-4DCE-B8B8-1602385BBA24}">
  <dimension ref="A1:M8"/>
  <sheetViews>
    <sheetView workbookViewId="0">
      <selection activeCell="A9" sqref="A9:XFD11"/>
    </sheetView>
  </sheetViews>
  <sheetFormatPr defaultRowHeight="15"/>
  <cols>
    <col min="1" max="1" width="14.7109375" customWidth="1"/>
    <col min="2" max="2" width="10.5703125" bestFit="1" customWidth="1"/>
    <col min="3" max="3" width="20.28515625" bestFit="1" customWidth="1"/>
    <col min="5" max="5" width="15.7109375" bestFit="1" customWidth="1"/>
    <col min="6" max="6" width="18.5703125" bestFit="1" customWidth="1"/>
    <col min="8" max="8" width="11.42578125" bestFit="1" customWidth="1"/>
    <col min="11" max="11" width="11" bestFit="1" customWidth="1"/>
    <col min="12" max="12" width="17.5703125" bestFit="1" customWidth="1"/>
    <col min="13" max="13" width="17.140625" bestFit="1" customWidth="1"/>
  </cols>
  <sheetData>
    <row r="1" spans="1:13" s="9" customFormat="1">
      <c r="A1" s="9" t="s">
        <v>0</v>
      </c>
      <c r="B1" s="9" t="s">
        <v>1</v>
      </c>
      <c r="C1" s="9" t="s">
        <v>2</v>
      </c>
      <c r="D1" s="9" t="s">
        <v>232</v>
      </c>
      <c r="E1" s="9" t="s">
        <v>233</v>
      </c>
      <c r="F1" s="9" t="s">
        <v>234</v>
      </c>
      <c r="G1" s="9" t="s">
        <v>6</v>
      </c>
      <c r="H1" s="9" t="s">
        <v>7</v>
      </c>
      <c r="I1" s="9" t="s">
        <v>8</v>
      </c>
      <c r="J1" s="9" t="s">
        <v>9</v>
      </c>
      <c r="K1" s="9" t="s">
        <v>10</v>
      </c>
      <c r="L1" s="9" t="s">
        <v>11</v>
      </c>
      <c r="M1" s="9" t="s">
        <v>12</v>
      </c>
    </row>
    <row r="2" spans="1:13">
      <c r="A2" t="s">
        <v>235</v>
      </c>
      <c r="B2" t="s">
        <v>140</v>
      </c>
      <c r="C2" t="s">
        <v>236</v>
      </c>
      <c r="E2" t="s">
        <v>74</v>
      </c>
      <c r="F2" s="28" t="s">
        <v>175</v>
      </c>
      <c r="I2" t="s">
        <v>237</v>
      </c>
    </row>
    <row r="3" spans="1:13">
      <c r="A3" t="s">
        <v>238</v>
      </c>
      <c r="B3" t="s">
        <v>76</v>
      </c>
      <c r="C3" t="s">
        <v>239</v>
      </c>
      <c r="E3" t="s">
        <v>240</v>
      </c>
      <c r="F3" t="s">
        <v>240</v>
      </c>
      <c r="I3" t="s">
        <v>237</v>
      </c>
    </row>
    <row r="4" spans="1:13">
      <c r="A4" t="s">
        <v>241</v>
      </c>
      <c r="B4" t="s">
        <v>148</v>
      </c>
      <c r="E4" t="s">
        <v>74</v>
      </c>
      <c r="F4" t="s">
        <v>242</v>
      </c>
      <c r="I4" t="s">
        <v>237</v>
      </c>
    </row>
    <row r="5" spans="1:13">
      <c r="A5" t="s">
        <v>243</v>
      </c>
      <c r="B5" t="s">
        <v>244</v>
      </c>
      <c r="E5" t="s">
        <v>245</v>
      </c>
      <c r="F5" t="s">
        <v>74</v>
      </c>
      <c r="I5" t="s">
        <v>237</v>
      </c>
    </row>
    <row r="6" spans="1:13">
      <c r="A6" t="s">
        <v>246</v>
      </c>
      <c r="B6" t="s">
        <v>76</v>
      </c>
      <c r="C6" t="s">
        <v>239</v>
      </c>
      <c r="E6" t="s">
        <v>240</v>
      </c>
      <c r="F6" t="s">
        <v>17</v>
      </c>
      <c r="I6" t="s">
        <v>237</v>
      </c>
    </row>
    <row r="7" spans="1:13">
      <c r="A7" t="s">
        <v>214</v>
      </c>
      <c r="B7" t="s">
        <v>152</v>
      </c>
      <c r="E7" t="s">
        <v>74</v>
      </c>
      <c r="F7" t="s">
        <v>247</v>
      </c>
    </row>
    <row r="8" spans="1:13">
      <c r="A8" t="s">
        <v>248</v>
      </c>
      <c r="B8" t="s">
        <v>152</v>
      </c>
      <c r="E8" t="s">
        <v>74</v>
      </c>
      <c r="F8" t="s">
        <v>247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3FEB6-42C8-460E-A082-19CBCFAA992F}">
  <dimension ref="A1:P50"/>
  <sheetViews>
    <sheetView workbookViewId="0">
      <selection activeCell="B37" sqref="B37"/>
    </sheetView>
  </sheetViews>
  <sheetFormatPr defaultRowHeight="15"/>
  <cols>
    <col min="1" max="1" width="21.7109375" bestFit="1" customWidth="1"/>
    <col min="2" max="2" width="12.85546875" bestFit="1" customWidth="1"/>
    <col min="3" max="3" width="20.28515625" bestFit="1" customWidth="1"/>
    <col min="4" max="4" width="5.85546875" bestFit="1" customWidth="1"/>
    <col min="5" max="5" width="18.85546875" bestFit="1" customWidth="1"/>
    <col min="6" max="6" width="18.85546875" customWidth="1"/>
    <col min="7" max="7" width="23.5703125" customWidth="1"/>
    <col min="9" max="9" width="12.28515625" bestFit="1" customWidth="1"/>
    <col min="12" max="12" width="11.85546875" bestFit="1" customWidth="1"/>
    <col min="13" max="13" width="18.85546875" bestFit="1" customWidth="1"/>
    <col min="14" max="14" width="17.140625" bestFit="1" customWidth="1"/>
  </cols>
  <sheetData>
    <row r="1" spans="1:16">
      <c r="A1" t="s">
        <v>0</v>
      </c>
      <c r="B1" t="s">
        <v>1</v>
      </c>
      <c r="C1" t="s">
        <v>2</v>
      </c>
      <c r="D1" t="s">
        <v>232</v>
      </c>
      <c r="E1" t="s">
        <v>233</v>
      </c>
      <c r="F1" t="s">
        <v>249</v>
      </c>
      <c r="G1" t="s">
        <v>234</v>
      </c>
      <c r="H1" t="s">
        <v>6</v>
      </c>
      <c r="I1" t="s">
        <v>7</v>
      </c>
      <c r="J1" t="s">
        <v>8</v>
      </c>
      <c r="K1" t="s">
        <v>9</v>
      </c>
      <c r="L1" t="s">
        <v>10</v>
      </c>
      <c r="M1" t="s">
        <v>11</v>
      </c>
      <c r="N1" t="s">
        <v>12</v>
      </c>
    </row>
    <row r="2" spans="1:16">
      <c r="A2" t="s">
        <v>250</v>
      </c>
      <c r="B2" t="s">
        <v>251</v>
      </c>
      <c r="C2" t="s">
        <v>252</v>
      </c>
      <c r="E2" t="s">
        <v>74</v>
      </c>
      <c r="G2" t="s">
        <v>74</v>
      </c>
      <c r="J2" t="s">
        <v>237</v>
      </c>
    </row>
    <row r="3" spans="1:16">
      <c r="A3" t="s">
        <v>253</v>
      </c>
      <c r="B3" t="s">
        <v>76</v>
      </c>
      <c r="C3" t="s">
        <v>254</v>
      </c>
      <c r="E3" t="s">
        <v>74</v>
      </c>
      <c r="G3" t="s">
        <v>74</v>
      </c>
      <c r="J3" t="s">
        <v>237</v>
      </c>
    </row>
    <row r="4" spans="1:16">
      <c r="A4" t="s">
        <v>255</v>
      </c>
      <c r="B4" t="s">
        <v>140</v>
      </c>
      <c r="E4" t="s">
        <v>74</v>
      </c>
      <c r="G4" t="s">
        <v>74</v>
      </c>
      <c r="J4" t="s">
        <v>237</v>
      </c>
    </row>
    <row r="5" spans="1:16">
      <c r="A5" t="s">
        <v>256</v>
      </c>
      <c r="B5" t="s">
        <v>140</v>
      </c>
      <c r="E5" t="s">
        <v>74</v>
      </c>
      <c r="G5" t="s">
        <v>74</v>
      </c>
      <c r="J5" t="s">
        <v>237</v>
      </c>
    </row>
    <row r="6" spans="1:16">
      <c r="A6" t="s">
        <v>257</v>
      </c>
      <c r="B6" t="s">
        <v>162</v>
      </c>
      <c r="E6" t="s">
        <v>74</v>
      </c>
      <c r="G6" t="s">
        <v>258</v>
      </c>
      <c r="J6" t="s">
        <v>237</v>
      </c>
    </row>
    <row r="7" spans="1:16">
      <c r="A7" t="s">
        <v>259</v>
      </c>
      <c r="B7" t="s">
        <v>260</v>
      </c>
      <c r="E7" t="s">
        <v>74</v>
      </c>
      <c r="G7" t="s">
        <v>74</v>
      </c>
      <c r="J7" t="s">
        <v>237</v>
      </c>
      <c r="N7" t="s">
        <v>261</v>
      </c>
    </row>
    <row r="8" spans="1:16">
      <c r="A8" t="s">
        <v>209</v>
      </c>
      <c r="B8" t="s">
        <v>76</v>
      </c>
      <c r="C8" t="s">
        <v>262</v>
      </c>
      <c r="E8" t="s">
        <v>74</v>
      </c>
      <c r="G8" t="s">
        <v>263</v>
      </c>
      <c r="J8" t="s">
        <v>237</v>
      </c>
    </row>
    <row r="9" spans="1:16">
      <c r="A9" t="s">
        <v>264</v>
      </c>
      <c r="B9" t="s">
        <v>162</v>
      </c>
      <c r="E9" t="s">
        <v>74</v>
      </c>
      <c r="G9" t="s">
        <v>258</v>
      </c>
      <c r="J9" t="s">
        <v>237</v>
      </c>
    </row>
    <row r="10" spans="1:16" s="18" customFormat="1">
      <c r="A10" t="s">
        <v>265</v>
      </c>
      <c r="B10" t="s">
        <v>260</v>
      </c>
      <c r="C10"/>
      <c r="D10"/>
      <c r="E10" t="s">
        <v>141</v>
      </c>
      <c r="F10"/>
      <c r="G10" t="s">
        <v>141</v>
      </c>
      <c r="H10"/>
      <c r="I10"/>
      <c r="J10" t="s">
        <v>266</v>
      </c>
      <c r="K10"/>
      <c r="L10"/>
      <c r="M10"/>
      <c r="N10" t="s">
        <v>267</v>
      </c>
      <c r="O10"/>
      <c r="P10"/>
    </row>
    <row r="11" spans="1:16">
      <c r="A11" t="s">
        <v>268</v>
      </c>
      <c r="B11" t="s">
        <v>251</v>
      </c>
      <c r="C11" t="s">
        <v>252</v>
      </c>
      <c r="E11" t="s">
        <v>74</v>
      </c>
      <c r="F11" t="s">
        <v>266</v>
      </c>
      <c r="G11" t="s">
        <v>74</v>
      </c>
      <c r="J11" t="s">
        <v>237</v>
      </c>
      <c r="N11" t="s">
        <v>261</v>
      </c>
    </row>
    <row r="12" spans="1:16">
      <c r="A12" t="s">
        <v>269</v>
      </c>
      <c r="B12" t="s">
        <v>146</v>
      </c>
      <c r="E12" t="s">
        <v>74</v>
      </c>
      <c r="G12" t="s">
        <v>74</v>
      </c>
      <c r="J12" t="s">
        <v>237</v>
      </c>
    </row>
    <row r="13" spans="1:16">
      <c r="A13" t="s">
        <v>241</v>
      </c>
      <c r="B13" t="s">
        <v>148</v>
      </c>
      <c r="E13" t="s">
        <v>74</v>
      </c>
      <c r="G13" t="s">
        <v>270</v>
      </c>
      <c r="J13" t="s">
        <v>237</v>
      </c>
    </row>
    <row r="14" spans="1:16">
      <c r="A14" t="s">
        <v>235</v>
      </c>
      <c r="B14" t="s">
        <v>140</v>
      </c>
      <c r="C14" t="s">
        <v>236</v>
      </c>
      <c r="E14" t="s">
        <v>74</v>
      </c>
      <c r="G14" t="s">
        <v>74</v>
      </c>
      <c r="J14" t="s">
        <v>237</v>
      </c>
    </row>
    <row r="15" spans="1:16">
      <c r="A15" t="s">
        <v>271</v>
      </c>
      <c r="B15" t="s">
        <v>76</v>
      </c>
      <c r="C15" t="s">
        <v>254</v>
      </c>
      <c r="E15" t="s">
        <v>74</v>
      </c>
      <c r="G15" s="27" t="s">
        <v>272</v>
      </c>
      <c r="J15" t="s">
        <v>237</v>
      </c>
    </row>
    <row r="16" spans="1:16">
      <c r="A16" t="s">
        <v>273</v>
      </c>
      <c r="B16" t="s">
        <v>148</v>
      </c>
      <c r="E16" t="s">
        <v>74</v>
      </c>
      <c r="G16" t="s">
        <v>270</v>
      </c>
      <c r="J16" t="s">
        <v>237</v>
      </c>
    </row>
    <row r="17" spans="1:10">
      <c r="A17" t="s">
        <v>274</v>
      </c>
      <c r="B17" t="s">
        <v>76</v>
      </c>
      <c r="C17" t="s">
        <v>275</v>
      </c>
      <c r="E17" t="s">
        <v>74</v>
      </c>
      <c r="G17" t="s">
        <v>74</v>
      </c>
      <c r="J17" t="s">
        <v>237</v>
      </c>
    </row>
    <row r="18" spans="1:10">
      <c r="A18" t="s">
        <v>276</v>
      </c>
      <c r="B18" t="s">
        <v>251</v>
      </c>
      <c r="E18" t="s">
        <v>277</v>
      </c>
      <c r="G18" t="s">
        <v>74</v>
      </c>
      <c r="J18" t="s">
        <v>237</v>
      </c>
    </row>
    <row r="19" spans="1:10">
      <c r="A19" t="s">
        <v>278</v>
      </c>
      <c r="B19" t="s">
        <v>148</v>
      </c>
      <c r="E19" t="s">
        <v>74</v>
      </c>
      <c r="G19" t="s">
        <v>270</v>
      </c>
      <c r="J19" t="s">
        <v>237</v>
      </c>
    </row>
    <row r="20" spans="1:10">
      <c r="A20" t="s">
        <v>279</v>
      </c>
      <c r="B20" t="s">
        <v>76</v>
      </c>
      <c r="C20" t="s">
        <v>262</v>
      </c>
      <c r="E20" t="s">
        <v>74</v>
      </c>
      <c r="G20" t="s">
        <v>263</v>
      </c>
      <c r="J20" t="s">
        <v>237</v>
      </c>
    </row>
    <row r="21" spans="1:10">
      <c r="A21" t="s">
        <v>280</v>
      </c>
      <c r="B21" t="s">
        <v>281</v>
      </c>
      <c r="E21" t="s">
        <v>245</v>
      </c>
      <c r="G21" t="s">
        <v>74</v>
      </c>
      <c r="J21" t="s">
        <v>237</v>
      </c>
    </row>
    <row r="22" spans="1:10">
      <c r="A22" t="s">
        <v>282</v>
      </c>
      <c r="B22" t="s">
        <v>140</v>
      </c>
      <c r="C22" t="s">
        <v>283</v>
      </c>
      <c r="E22" t="s">
        <v>74</v>
      </c>
      <c r="G22" t="s">
        <v>284</v>
      </c>
      <c r="J22" t="s">
        <v>237</v>
      </c>
    </row>
    <row r="23" spans="1:10">
      <c r="A23" t="s">
        <v>285</v>
      </c>
      <c r="B23" t="s">
        <v>286</v>
      </c>
      <c r="E23" t="s">
        <v>74</v>
      </c>
      <c r="G23" s="27" t="s">
        <v>272</v>
      </c>
      <c r="J23" t="s">
        <v>237</v>
      </c>
    </row>
    <row r="24" spans="1:10">
      <c r="A24" t="s">
        <v>287</v>
      </c>
      <c r="B24" t="s">
        <v>286</v>
      </c>
      <c r="E24" t="s">
        <v>74</v>
      </c>
      <c r="G24" s="27" t="s">
        <v>272</v>
      </c>
      <c r="J24" t="s">
        <v>237</v>
      </c>
    </row>
    <row r="25" spans="1:10">
      <c r="A25" t="s">
        <v>288</v>
      </c>
      <c r="B25" t="s">
        <v>286</v>
      </c>
      <c r="E25" t="s">
        <v>74</v>
      </c>
      <c r="G25" s="29" t="s">
        <v>289</v>
      </c>
      <c r="J25" t="s">
        <v>237</v>
      </c>
    </row>
    <row r="26" spans="1:10">
      <c r="A26" t="s">
        <v>178</v>
      </c>
      <c r="B26" t="s">
        <v>152</v>
      </c>
      <c r="E26" t="s">
        <v>74</v>
      </c>
      <c r="G26" t="s">
        <v>74</v>
      </c>
      <c r="J26" t="s">
        <v>237</v>
      </c>
    </row>
    <row r="27" spans="1:10">
      <c r="A27" t="s">
        <v>290</v>
      </c>
      <c r="B27" t="s">
        <v>152</v>
      </c>
      <c r="E27" t="s">
        <v>74</v>
      </c>
      <c r="G27" t="s">
        <v>74</v>
      </c>
      <c r="J27" t="s">
        <v>237</v>
      </c>
    </row>
    <row r="28" spans="1:10">
      <c r="A28" t="s">
        <v>291</v>
      </c>
      <c r="B28" t="s">
        <v>140</v>
      </c>
      <c r="E28" t="s">
        <v>74</v>
      </c>
      <c r="G28" t="s">
        <v>292</v>
      </c>
      <c r="J28" t="s">
        <v>237</v>
      </c>
    </row>
    <row r="29" spans="1:10">
      <c r="A29" t="s">
        <v>293</v>
      </c>
      <c r="B29" t="s">
        <v>140</v>
      </c>
      <c r="C29" t="s">
        <v>294</v>
      </c>
      <c r="E29" t="s">
        <v>74</v>
      </c>
      <c r="G29" t="s">
        <v>292</v>
      </c>
      <c r="J29" t="s">
        <v>237</v>
      </c>
    </row>
    <row r="30" spans="1:10">
      <c r="A30" t="s">
        <v>221</v>
      </c>
      <c r="B30" t="s">
        <v>148</v>
      </c>
      <c r="E30" t="s">
        <v>74</v>
      </c>
      <c r="F30" t="s">
        <v>266</v>
      </c>
      <c r="G30" s="27" t="s">
        <v>272</v>
      </c>
      <c r="J30" t="s">
        <v>237</v>
      </c>
    </row>
    <row r="31" spans="1:10">
      <c r="A31" t="s">
        <v>295</v>
      </c>
      <c r="B31" t="s">
        <v>188</v>
      </c>
      <c r="E31" t="s">
        <v>74</v>
      </c>
      <c r="F31" t="s">
        <v>266</v>
      </c>
      <c r="G31" t="s">
        <v>296</v>
      </c>
      <c r="J31" t="s">
        <v>237</v>
      </c>
    </row>
    <row r="32" spans="1:10">
      <c r="A32" t="s">
        <v>297</v>
      </c>
      <c r="B32" t="s">
        <v>76</v>
      </c>
      <c r="C32" t="s">
        <v>298</v>
      </c>
      <c r="E32" t="s">
        <v>189</v>
      </c>
      <c r="G32" t="s">
        <v>74</v>
      </c>
      <c r="J32" t="s">
        <v>299</v>
      </c>
    </row>
    <row r="33" spans="1:10">
      <c r="A33" t="s">
        <v>246</v>
      </c>
      <c r="B33" t="s">
        <v>76</v>
      </c>
      <c r="C33" t="s">
        <v>300</v>
      </c>
      <c r="E33" t="s">
        <v>301</v>
      </c>
      <c r="G33" t="s">
        <v>74</v>
      </c>
      <c r="J33" t="s">
        <v>237</v>
      </c>
    </row>
    <row r="41" spans="1:10">
      <c r="A41" s="19" t="s">
        <v>302</v>
      </c>
      <c r="B41" s="20"/>
      <c r="C41" s="20" t="s">
        <v>303</v>
      </c>
      <c r="D41" s="20"/>
      <c r="E41" s="20" t="s">
        <v>304</v>
      </c>
      <c r="F41" s="20"/>
      <c r="G41" s="21" t="s">
        <v>305</v>
      </c>
    </row>
    <row r="42" spans="1:10">
      <c r="A42" s="25" t="s">
        <v>76</v>
      </c>
      <c r="E42">
        <f>COUNTIFS(E$2:E$22,"=BESURE", $B$2:$B$22,$A42)</f>
        <v>5</v>
      </c>
      <c r="G42" s="22">
        <f>COUNTIFS(G$2:G$22,"=BESURE", $B$2:$B$22,$A42)</f>
        <v>2</v>
      </c>
    </row>
    <row r="43" spans="1:10">
      <c r="A43" s="25" t="s">
        <v>162</v>
      </c>
      <c r="E43">
        <f>COUNTIFS(E$2:E$22,"=BESURE", $B$2:$B$22,$A43)</f>
        <v>2</v>
      </c>
      <c r="G43" s="22">
        <f>COUNTIFS(G$2:G$22,"=BESURE", $B$2:$B$22,$A43)</f>
        <v>0</v>
      </c>
    </row>
    <row r="44" spans="1:10">
      <c r="A44" s="25" t="s">
        <v>140</v>
      </c>
      <c r="E44">
        <f>COUNTIFS(E$2:E$22,"=BESURE", $B$2:$B$22,$A44)</f>
        <v>4</v>
      </c>
      <c r="G44" s="22">
        <f>COUNTIFS(G$2:G$22,"=BESURE", $B$2:$B$22,$A44)</f>
        <v>3</v>
      </c>
    </row>
    <row r="45" spans="1:10">
      <c r="A45" s="25" t="s">
        <v>286</v>
      </c>
      <c r="E45">
        <f>COUNTIFS(E$2:E$22,"=BESURE", $B$2:$B$22,$A45)</f>
        <v>0</v>
      </c>
      <c r="G45" s="22">
        <f>COUNTIFS(G$2:G$22,"=BESURE", $B$2:$B$22,$A45)</f>
        <v>0</v>
      </c>
    </row>
    <row r="46" spans="1:10">
      <c r="A46" s="25" t="s">
        <v>188</v>
      </c>
      <c r="E46">
        <f>COUNTIFS(E$2:E$22,"=BESURE", $B$2:$B$22,$A46)</f>
        <v>0</v>
      </c>
      <c r="G46" s="22">
        <f>COUNTIFS(G$2:G$22,"=BESURE", $B$2:$B$22,$A46)</f>
        <v>0</v>
      </c>
    </row>
    <row r="47" spans="1:10">
      <c r="A47" s="25" t="s">
        <v>260</v>
      </c>
      <c r="E47">
        <f>COUNTIFS(E$2:E$22,"=BESURE", $B$2:$B$22,$A47)</f>
        <v>1</v>
      </c>
      <c r="G47" s="22">
        <f>COUNTIFS(G$2:G$22,"=BESURE", $B$2:$B$22,$A47)</f>
        <v>1</v>
      </c>
    </row>
    <row r="48" spans="1:10">
      <c r="A48" s="25" t="s">
        <v>148</v>
      </c>
      <c r="E48">
        <f>COUNTIFS(E$2:E$22,"=BESURE", $B$2:$B$22,$A48)</f>
        <v>3</v>
      </c>
      <c r="G48" s="22">
        <f>COUNTIFS(G$2:G$22,"=BESURE", $B$2:$B$22,$A48)</f>
        <v>0</v>
      </c>
    </row>
    <row r="49" spans="1:7">
      <c r="A49" s="25" t="s">
        <v>281</v>
      </c>
      <c r="E49">
        <f>COUNTIFS(E$2:E$22,"=BESURE", $B$2:$B$22,$A49)</f>
        <v>0</v>
      </c>
      <c r="G49" s="22">
        <f>COUNTIFS(G$2:G$22,"=BESURE", $B$2:$B$22,$A49)</f>
        <v>1</v>
      </c>
    </row>
    <row r="50" spans="1:7">
      <c r="A50" s="26" t="s">
        <v>251</v>
      </c>
      <c r="B50" s="23"/>
      <c r="C50" s="23"/>
      <c r="D50" s="23"/>
      <c r="E50" s="23">
        <f>COUNTIFS(E$2:E$22,"=BESURE", $B$2:$B$22,$A50)</f>
        <v>2</v>
      </c>
      <c r="F50" s="23"/>
      <c r="G50" s="24">
        <f>COUNTIFS(G$2:G$22,"=BESURE", $B$2:$B$22,$A50)</f>
        <v>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658AD-F3BE-4942-B788-24140B020AC5}">
  <dimension ref="A1:L12"/>
  <sheetViews>
    <sheetView workbookViewId="0">
      <selection activeCell="E25" sqref="E25"/>
    </sheetView>
  </sheetViews>
  <sheetFormatPr defaultColWidth="11.42578125" defaultRowHeight="15"/>
  <cols>
    <col min="1" max="1" width="21.7109375" bestFit="1" customWidth="1"/>
    <col min="2" max="2" width="14.85546875" customWidth="1"/>
    <col min="4" max="4" width="14.85546875" bestFit="1" customWidth="1"/>
    <col min="5" max="5" width="17.28515625" bestFit="1" customWidth="1"/>
    <col min="11" max="11" width="16.7109375" bestFit="1" customWidth="1"/>
  </cols>
  <sheetData>
    <row r="1" spans="1:12">
      <c r="A1" s="17" t="s">
        <v>0</v>
      </c>
      <c r="B1" s="17" t="s">
        <v>1</v>
      </c>
      <c r="C1" s="17" t="s">
        <v>232</v>
      </c>
      <c r="D1" s="17" t="s">
        <v>233</v>
      </c>
      <c r="E1" s="17" t="s">
        <v>234</v>
      </c>
      <c r="F1" s="17" t="s">
        <v>6</v>
      </c>
      <c r="G1" s="17" t="s">
        <v>7</v>
      </c>
      <c r="H1" s="17" t="s">
        <v>8</v>
      </c>
      <c r="I1" s="17" t="s">
        <v>9</v>
      </c>
      <c r="J1" s="17" t="s">
        <v>10</v>
      </c>
      <c r="K1" s="17" t="s">
        <v>11</v>
      </c>
      <c r="L1" t="s">
        <v>306</v>
      </c>
    </row>
    <row r="2" spans="1:12">
      <c r="A2" t="s">
        <v>250</v>
      </c>
      <c r="B2" t="s">
        <v>307</v>
      </c>
      <c r="D2" t="s">
        <v>308</v>
      </c>
      <c r="E2" t="s">
        <v>74</v>
      </c>
      <c r="H2" t="s">
        <v>237</v>
      </c>
      <c r="I2" t="s">
        <v>237</v>
      </c>
      <c r="J2" t="s">
        <v>237</v>
      </c>
      <c r="L2" t="s">
        <v>237</v>
      </c>
    </row>
    <row r="3" spans="1:12">
      <c r="A3" t="s">
        <v>309</v>
      </c>
      <c r="B3" t="s">
        <v>26</v>
      </c>
      <c r="D3" t="s">
        <v>308</v>
      </c>
      <c r="E3" t="s">
        <v>74</v>
      </c>
      <c r="H3" t="s">
        <v>237</v>
      </c>
      <c r="I3" t="s">
        <v>266</v>
      </c>
      <c r="J3" t="s">
        <v>266</v>
      </c>
      <c r="L3" t="s">
        <v>237</v>
      </c>
    </row>
    <row r="4" spans="1:12">
      <c r="A4" t="s">
        <v>253</v>
      </c>
      <c r="B4" t="s">
        <v>310</v>
      </c>
      <c r="D4" t="s">
        <v>308</v>
      </c>
      <c r="E4" t="s">
        <v>74</v>
      </c>
      <c r="H4" t="s">
        <v>266</v>
      </c>
      <c r="I4" t="s">
        <v>266</v>
      </c>
      <c r="J4" t="s">
        <v>237</v>
      </c>
      <c r="L4" t="s">
        <v>237</v>
      </c>
    </row>
    <row r="5" spans="1:12">
      <c r="A5" t="s">
        <v>255</v>
      </c>
      <c r="B5" t="s">
        <v>14</v>
      </c>
      <c r="D5" t="s">
        <v>308</v>
      </c>
      <c r="E5" t="s">
        <v>311</v>
      </c>
      <c r="H5" t="s">
        <v>266</v>
      </c>
      <c r="I5" t="s">
        <v>266</v>
      </c>
      <c r="J5" t="s">
        <v>266</v>
      </c>
      <c r="L5" t="s">
        <v>237</v>
      </c>
    </row>
    <row r="6" spans="1:12">
      <c r="A6" t="s">
        <v>256</v>
      </c>
      <c r="B6" t="s">
        <v>14</v>
      </c>
      <c r="D6" t="s">
        <v>308</v>
      </c>
      <c r="E6" t="s">
        <v>312</v>
      </c>
      <c r="H6" t="s">
        <v>266</v>
      </c>
      <c r="I6" t="s">
        <v>266</v>
      </c>
      <c r="J6" t="s">
        <v>266</v>
      </c>
      <c r="L6" t="s">
        <v>237</v>
      </c>
    </row>
    <row r="7" spans="1:12">
      <c r="A7" t="s">
        <v>257</v>
      </c>
      <c r="B7" t="s">
        <v>90</v>
      </c>
      <c r="D7" t="s">
        <v>308</v>
      </c>
      <c r="E7" t="s">
        <v>74</v>
      </c>
      <c r="H7" t="s">
        <v>237</v>
      </c>
      <c r="I7" t="s">
        <v>237</v>
      </c>
      <c r="J7" t="s">
        <v>237</v>
      </c>
      <c r="L7" t="s">
        <v>237</v>
      </c>
    </row>
    <row r="8" spans="1:12">
      <c r="A8" t="s">
        <v>259</v>
      </c>
      <c r="B8" t="s">
        <v>124</v>
      </c>
      <c r="D8" t="s">
        <v>308</v>
      </c>
      <c r="E8" t="s">
        <v>74</v>
      </c>
      <c r="H8" t="s">
        <v>237</v>
      </c>
      <c r="I8" t="s">
        <v>237</v>
      </c>
      <c r="J8" t="s">
        <v>237</v>
      </c>
      <c r="L8" t="s">
        <v>237</v>
      </c>
    </row>
    <row r="9" spans="1:12">
      <c r="A9" t="s">
        <v>269</v>
      </c>
      <c r="B9" t="s">
        <v>84</v>
      </c>
      <c r="D9" t="s">
        <v>313</v>
      </c>
      <c r="E9" t="s">
        <v>313</v>
      </c>
      <c r="H9" t="s">
        <v>237</v>
      </c>
      <c r="I9" t="s">
        <v>237</v>
      </c>
      <c r="J9" t="s">
        <v>237</v>
      </c>
      <c r="L9" t="s">
        <v>237</v>
      </c>
    </row>
    <row r="10" spans="1:12">
      <c r="A10" t="s">
        <v>314</v>
      </c>
      <c r="B10" t="s">
        <v>260</v>
      </c>
      <c r="J10" t="s">
        <v>237</v>
      </c>
      <c r="L10" t="s">
        <v>237</v>
      </c>
    </row>
    <row r="12" spans="1:12">
      <c r="F12" t="s">
        <v>315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8"/>
  <sheetViews>
    <sheetView zoomScale="92" zoomScaleNormal="92" workbookViewId="0">
      <selection activeCell="J32" sqref="J32"/>
    </sheetView>
  </sheetViews>
  <sheetFormatPr defaultColWidth="8.85546875" defaultRowHeight="15"/>
  <cols>
    <col min="1" max="1" width="20" customWidth="1"/>
    <col min="2" max="2" width="20.7109375" bestFit="1" customWidth="1"/>
    <col min="3" max="9" width="20" hidden="1" customWidth="1"/>
    <col min="10" max="10" width="156.85546875" bestFit="1" customWidth="1"/>
    <col min="11" max="11" width="223.140625" hidden="1" customWidth="1"/>
    <col min="12" max="12" width="20.85546875" customWidth="1"/>
    <col min="13" max="13" width="29.28515625" customWidth="1"/>
    <col min="14" max="14" width="25" customWidth="1"/>
  </cols>
  <sheetData>
    <row r="1" spans="1:14">
      <c r="A1" t="s">
        <v>316</v>
      </c>
      <c r="B1" t="s">
        <v>317</v>
      </c>
      <c r="C1" t="s">
        <v>318</v>
      </c>
      <c r="D1" t="s">
        <v>319</v>
      </c>
      <c r="E1" t="s">
        <v>320</v>
      </c>
      <c r="F1" t="s">
        <v>321</v>
      </c>
      <c r="G1" t="s">
        <v>322</v>
      </c>
      <c r="H1" t="s">
        <v>323</v>
      </c>
      <c r="I1" t="s">
        <v>324</v>
      </c>
      <c r="J1" t="s">
        <v>325</v>
      </c>
      <c r="K1" t="s">
        <v>326</v>
      </c>
      <c r="L1" t="s">
        <v>327</v>
      </c>
      <c r="M1" t="s">
        <v>328</v>
      </c>
      <c r="N1" t="s">
        <v>329</v>
      </c>
    </row>
    <row r="2" spans="1:14" s="4" customFormat="1">
      <c r="A2" s="4" t="s">
        <v>330</v>
      </c>
      <c r="B2" s="4" t="s">
        <v>331</v>
      </c>
      <c r="C2" s="4" t="s">
        <v>331</v>
      </c>
      <c r="D2" s="4" t="s">
        <v>330</v>
      </c>
      <c r="E2" s="4" t="s">
        <v>332</v>
      </c>
      <c r="F2" s="4" t="s">
        <v>332</v>
      </c>
      <c r="G2" s="4" t="s">
        <v>333</v>
      </c>
      <c r="H2" s="4" t="s">
        <v>333</v>
      </c>
      <c r="I2" s="4" t="s">
        <v>334</v>
      </c>
      <c r="J2" s="4" t="s">
        <v>335</v>
      </c>
      <c r="K2" s="4" t="s">
        <v>336</v>
      </c>
      <c r="L2" s="4" t="s">
        <v>237</v>
      </c>
      <c r="M2" s="4" t="s">
        <v>237</v>
      </c>
      <c r="N2" s="4" t="s">
        <v>337</v>
      </c>
    </row>
    <row r="3" spans="1:14" s="1" customFormat="1">
      <c r="A3" s="1" t="s">
        <v>338</v>
      </c>
      <c r="B3" s="1" t="s">
        <v>339</v>
      </c>
      <c r="C3" s="1" t="s">
        <v>339</v>
      </c>
      <c r="D3" s="1" t="s">
        <v>338</v>
      </c>
      <c r="E3" s="1" t="s">
        <v>340</v>
      </c>
      <c r="F3" s="1" t="s">
        <v>333</v>
      </c>
      <c r="G3" s="1" t="s">
        <v>332</v>
      </c>
      <c r="H3" s="1" t="s">
        <v>340</v>
      </c>
      <c r="I3" s="1" t="s">
        <v>341</v>
      </c>
      <c r="J3" s="1" t="s">
        <v>342</v>
      </c>
      <c r="K3" s="1" t="s">
        <v>343</v>
      </c>
      <c r="L3" s="1" t="s">
        <v>237</v>
      </c>
      <c r="M3" s="1" t="s">
        <v>237</v>
      </c>
      <c r="N3" s="1" t="s">
        <v>344</v>
      </c>
    </row>
    <row r="4" spans="1:14" s="4" customFormat="1">
      <c r="A4" s="4" t="s">
        <v>345</v>
      </c>
      <c r="B4" s="4" t="s">
        <v>346</v>
      </c>
      <c r="C4" s="4" t="s">
        <v>346</v>
      </c>
      <c r="D4" s="4" t="s">
        <v>345</v>
      </c>
      <c r="E4" s="4" t="s">
        <v>332</v>
      </c>
      <c r="F4" s="4" t="s">
        <v>347</v>
      </c>
      <c r="G4" s="4" t="s">
        <v>333</v>
      </c>
      <c r="H4" s="4" t="s">
        <v>347</v>
      </c>
      <c r="I4" s="4" t="s">
        <v>348</v>
      </c>
      <c r="J4" s="4" t="s">
        <v>349</v>
      </c>
      <c r="K4" s="4" t="s">
        <v>350</v>
      </c>
      <c r="L4" s="4" t="s">
        <v>237</v>
      </c>
      <c r="M4" s="4" t="s">
        <v>237</v>
      </c>
      <c r="N4" s="4" t="s">
        <v>351</v>
      </c>
    </row>
    <row r="5" spans="1:14">
      <c r="A5" t="s">
        <v>352</v>
      </c>
      <c r="B5" t="s">
        <v>353</v>
      </c>
      <c r="C5" s="1" t="s">
        <v>354</v>
      </c>
      <c r="D5" s="2" t="s">
        <v>352</v>
      </c>
      <c r="E5" s="1" t="s">
        <v>333</v>
      </c>
      <c r="F5" t="s">
        <v>332</v>
      </c>
      <c r="G5" t="s">
        <v>340</v>
      </c>
      <c r="H5" t="s">
        <v>347</v>
      </c>
      <c r="I5" t="s">
        <v>355</v>
      </c>
      <c r="K5" s="2" t="s">
        <v>356</v>
      </c>
      <c r="L5" t="s">
        <v>237</v>
      </c>
    </row>
    <row r="6" spans="1:14" s="1" customFormat="1">
      <c r="A6" s="1" t="s">
        <v>357</v>
      </c>
      <c r="B6" s="1" t="s">
        <v>358</v>
      </c>
      <c r="C6" s="1" t="s">
        <v>358</v>
      </c>
      <c r="D6" s="1" t="s">
        <v>357</v>
      </c>
      <c r="E6" s="1" t="s">
        <v>332</v>
      </c>
      <c r="F6" s="1" t="s">
        <v>333</v>
      </c>
      <c r="G6" s="1" t="s">
        <v>332</v>
      </c>
      <c r="H6" s="1" t="s">
        <v>332</v>
      </c>
      <c r="J6" s="1" t="s">
        <v>359</v>
      </c>
      <c r="K6" s="1" t="s">
        <v>360</v>
      </c>
      <c r="L6" s="1" t="s">
        <v>237</v>
      </c>
      <c r="M6" s="1" t="s">
        <v>237</v>
      </c>
      <c r="N6" s="1" t="s">
        <v>337</v>
      </c>
    </row>
    <row r="7" spans="1:14">
      <c r="A7" t="s">
        <v>361</v>
      </c>
      <c r="B7" t="s">
        <v>362</v>
      </c>
      <c r="C7" s="1" t="s">
        <v>362</v>
      </c>
      <c r="D7" t="s">
        <v>361</v>
      </c>
      <c r="E7" s="1" t="s">
        <v>333</v>
      </c>
      <c r="F7" t="s">
        <v>340</v>
      </c>
      <c r="G7" t="s">
        <v>332</v>
      </c>
      <c r="H7" s="1" t="s">
        <v>333</v>
      </c>
      <c r="I7" t="s">
        <v>363</v>
      </c>
      <c r="K7" t="s">
        <v>364</v>
      </c>
      <c r="L7" t="s">
        <v>237</v>
      </c>
    </row>
    <row r="8" spans="1:14" s="5" customFormat="1">
      <c r="A8" s="5" t="s">
        <v>365</v>
      </c>
      <c r="B8" s="5" t="s">
        <v>366</v>
      </c>
      <c r="C8" s="6" t="s">
        <v>366</v>
      </c>
      <c r="D8" s="5" t="s">
        <v>365</v>
      </c>
      <c r="E8" s="5" t="s">
        <v>332</v>
      </c>
      <c r="F8" s="5" t="s">
        <v>332</v>
      </c>
      <c r="G8" s="5" t="s">
        <v>332</v>
      </c>
      <c r="H8" s="6" t="s">
        <v>333</v>
      </c>
      <c r="J8" s="5" t="s">
        <v>367</v>
      </c>
      <c r="K8" s="7" t="s">
        <v>368</v>
      </c>
      <c r="L8" s="5" t="s">
        <v>237</v>
      </c>
      <c r="M8" s="5" t="s">
        <v>237</v>
      </c>
      <c r="N8" s="5" t="s">
        <v>369</v>
      </c>
    </row>
    <row r="9" spans="1:14">
      <c r="A9" t="s">
        <v>370</v>
      </c>
      <c r="B9" t="s">
        <v>371</v>
      </c>
      <c r="C9" s="1" t="s">
        <v>371</v>
      </c>
      <c r="D9" t="s">
        <v>370</v>
      </c>
      <c r="E9" s="1" t="s">
        <v>333</v>
      </c>
      <c r="F9" t="s">
        <v>340</v>
      </c>
      <c r="G9" t="s">
        <v>340</v>
      </c>
      <c r="H9" t="s">
        <v>332</v>
      </c>
      <c r="K9" s="2" t="s">
        <v>372</v>
      </c>
      <c r="L9" t="s">
        <v>237</v>
      </c>
    </row>
    <row r="10" spans="1:14">
      <c r="A10" t="s">
        <v>373</v>
      </c>
      <c r="B10" t="s">
        <v>374</v>
      </c>
      <c r="C10" s="1" t="s">
        <v>374</v>
      </c>
      <c r="D10" t="s">
        <v>373</v>
      </c>
      <c r="E10" s="1" t="s">
        <v>332</v>
      </c>
      <c r="F10" t="s">
        <v>347</v>
      </c>
      <c r="G10" t="s">
        <v>347</v>
      </c>
      <c r="H10" s="1" t="s">
        <v>332</v>
      </c>
      <c r="K10" s="2" t="s">
        <v>375</v>
      </c>
      <c r="L10" t="s">
        <v>237</v>
      </c>
    </row>
    <row r="11" spans="1:14">
      <c r="A11" t="s">
        <v>376</v>
      </c>
      <c r="B11" t="s">
        <v>377</v>
      </c>
      <c r="C11" s="1" t="s">
        <v>377</v>
      </c>
      <c r="D11" t="s">
        <v>376</v>
      </c>
      <c r="E11" t="s">
        <v>332</v>
      </c>
      <c r="F11" s="1" t="s">
        <v>333</v>
      </c>
      <c r="G11" s="1" t="s">
        <v>333</v>
      </c>
      <c r="H11" t="s">
        <v>332</v>
      </c>
      <c r="K11" s="2" t="s">
        <v>378</v>
      </c>
      <c r="L11" t="s">
        <v>237</v>
      </c>
    </row>
    <row r="12" spans="1:14">
      <c r="A12" t="s">
        <v>379</v>
      </c>
      <c r="B12" t="s">
        <v>380</v>
      </c>
      <c r="C12" s="1" t="s">
        <v>381</v>
      </c>
      <c r="D12" t="s">
        <v>379</v>
      </c>
      <c r="E12" s="1" t="s">
        <v>333</v>
      </c>
      <c r="F12" t="s">
        <v>347</v>
      </c>
      <c r="G12" t="s">
        <v>340</v>
      </c>
      <c r="H12" t="s">
        <v>340</v>
      </c>
      <c r="I12" t="s">
        <v>382</v>
      </c>
      <c r="K12" t="s">
        <v>383</v>
      </c>
      <c r="L12" t="s">
        <v>237</v>
      </c>
      <c r="M12" t="s">
        <v>237</v>
      </c>
    </row>
    <row r="13" spans="1:14" s="1" customFormat="1">
      <c r="A13" s="1" t="s">
        <v>384</v>
      </c>
      <c r="B13" s="1" t="s">
        <v>385</v>
      </c>
      <c r="C13" s="1" t="s">
        <v>385</v>
      </c>
      <c r="D13" s="1" t="s">
        <v>384</v>
      </c>
      <c r="E13" s="1" t="s">
        <v>333</v>
      </c>
      <c r="F13" s="1" t="s">
        <v>333</v>
      </c>
      <c r="G13" s="1" t="s">
        <v>340</v>
      </c>
      <c r="H13" s="1" t="s">
        <v>333</v>
      </c>
      <c r="I13" s="1" t="s">
        <v>386</v>
      </c>
      <c r="J13" s="1" t="s">
        <v>387</v>
      </c>
      <c r="K13" s="1" t="s">
        <v>388</v>
      </c>
      <c r="L13" s="1" t="s">
        <v>237</v>
      </c>
      <c r="M13" s="1" t="s">
        <v>237</v>
      </c>
    </row>
    <row r="14" spans="1:14">
      <c r="A14" t="s">
        <v>389</v>
      </c>
      <c r="B14" t="s">
        <v>390</v>
      </c>
      <c r="C14" s="1" t="s">
        <v>390</v>
      </c>
      <c r="D14" t="s">
        <v>389</v>
      </c>
      <c r="E14" t="s">
        <v>332</v>
      </c>
      <c r="F14" t="s">
        <v>332</v>
      </c>
      <c r="G14" s="1" t="s">
        <v>333</v>
      </c>
      <c r="H14" t="s">
        <v>332</v>
      </c>
      <c r="J14" s="4" t="s">
        <v>349</v>
      </c>
      <c r="K14" s="2" t="s">
        <v>391</v>
      </c>
      <c r="L14" t="s">
        <v>237</v>
      </c>
      <c r="M14" t="s">
        <v>237</v>
      </c>
      <c r="N14" t="s">
        <v>306</v>
      </c>
    </row>
    <row r="15" spans="1:14">
      <c r="A15" t="s">
        <v>392</v>
      </c>
      <c r="B15" t="s">
        <v>393</v>
      </c>
      <c r="C15" s="1" t="s">
        <v>393</v>
      </c>
      <c r="D15" t="s">
        <v>392</v>
      </c>
      <c r="E15" s="1" t="s">
        <v>333</v>
      </c>
      <c r="F15" s="1" t="s">
        <v>333</v>
      </c>
      <c r="G15" s="1" t="s">
        <v>333</v>
      </c>
      <c r="H15" s="1" t="s">
        <v>333</v>
      </c>
      <c r="K15" s="2" t="s">
        <v>394</v>
      </c>
      <c r="L15" t="s">
        <v>237</v>
      </c>
    </row>
    <row r="16" spans="1:14" s="8" customFormat="1">
      <c r="A16" s="8" t="s">
        <v>395</v>
      </c>
      <c r="B16" s="8" t="s">
        <v>309</v>
      </c>
      <c r="C16" s="8" t="s">
        <v>309</v>
      </c>
      <c r="D16" s="8" t="s">
        <v>395</v>
      </c>
      <c r="E16" s="8" t="s">
        <v>333</v>
      </c>
      <c r="F16" s="8" t="s">
        <v>340</v>
      </c>
      <c r="G16" s="8" t="s">
        <v>347</v>
      </c>
      <c r="H16" s="8" t="s">
        <v>332</v>
      </c>
      <c r="I16" s="8" t="s">
        <v>396</v>
      </c>
      <c r="J16" s="8" t="s">
        <v>397</v>
      </c>
      <c r="K16" s="8" t="s">
        <v>398</v>
      </c>
      <c r="L16" s="8" t="s">
        <v>237</v>
      </c>
      <c r="M16" s="8" t="s">
        <v>237</v>
      </c>
      <c r="N16" s="8" t="s">
        <v>399</v>
      </c>
    </row>
    <row r="17" spans="1:14">
      <c r="A17" t="s">
        <v>400</v>
      </c>
      <c r="B17" t="s">
        <v>401</v>
      </c>
      <c r="C17" s="1" t="s">
        <v>401</v>
      </c>
      <c r="D17" t="s">
        <v>400</v>
      </c>
      <c r="E17" s="1" t="s">
        <v>332</v>
      </c>
      <c r="F17" t="s">
        <v>332</v>
      </c>
      <c r="G17" t="s">
        <v>332</v>
      </c>
      <c r="H17" s="1" t="s">
        <v>332</v>
      </c>
      <c r="I17" t="s">
        <v>402</v>
      </c>
      <c r="K17" s="2" t="s">
        <v>403</v>
      </c>
      <c r="L17" t="s">
        <v>237</v>
      </c>
    </row>
    <row r="18" spans="1:14">
      <c r="A18" t="s">
        <v>404</v>
      </c>
      <c r="B18" t="s">
        <v>405</v>
      </c>
      <c r="C18" s="1" t="s">
        <v>405</v>
      </c>
      <c r="D18" t="s">
        <v>404</v>
      </c>
      <c r="E18" s="1" t="s">
        <v>333</v>
      </c>
      <c r="F18" t="s">
        <v>332</v>
      </c>
      <c r="G18" t="s">
        <v>340</v>
      </c>
      <c r="H18" t="s">
        <v>340</v>
      </c>
      <c r="I18" t="s">
        <v>406</v>
      </c>
      <c r="K18" s="2" t="s">
        <v>407</v>
      </c>
      <c r="L18" t="s">
        <v>237</v>
      </c>
    </row>
    <row r="19" spans="1:14" s="8" customFormat="1">
      <c r="A19" s="8" t="s">
        <v>408</v>
      </c>
      <c r="B19" s="8" t="s">
        <v>409</v>
      </c>
      <c r="C19" s="8" t="s">
        <v>409</v>
      </c>
      <c r="D19" s="8" t="s">
        <v>408</v>
      </c>
      <c r="E19" s="8" t="s">
        <v>333</v>
      </c>
      <c r="F19" s="8" t="s">
        <v>340</v>
      </c>
      <c r="G19" s="8" t="s">
        <v>340</v>
      </c>
      <c r="H19" s="8" t="s">
        <v>332</v>
      </c>
      <c r="I19" s="8" t="s">
        <v>410</v>
      </c>
      <c r="J19" s="8" t="s">
        <v>411</v>
      </c>
      <c r="K19" s="8" t="s">
        <v>412</v>
      </c>
      <c r="L19" s="8" t="s">
        <v>237</v>
      </c>
      <c r="M19" s="8" t="s">
        <v>237</v>
      </c>
      <c r="N19" s="8" t="s">
        <v>351</v>
      </c>
    </row>
    <row r="20" spans="1:14">
      <c r="A20" t="s">
        <v>413</v>
      </c>
      <c r="B20" t="s">
        <v>414</v>
      </c>
      <c r="C20" s="1" t="s">
        <v>414</v>
      </c>
      <c r="D20" s="3" t="s">
        <v>413</v>
      </c>
      <c r="E20" s="1" t="s">
        <v>333</v>
      </c>
      <c r="F20" t="s">
        <v>332</v>
      </c>
      <c r="G20" t="s">
        <v>340</v>
      </c>
      <c r="H20" t="s">
        <v>340</v>
      </c>
      <c r="I20" t="s">
        <v>415</v>
      </c>
      <c r="K20" s="2" t="s">
        <v>416</v>
      </c>
      <c r="L20" t="s">
        <v>237</v>
      </c>
    </row>
    <row r="21" spans="1:14">
      <c r="A21" t="s">
        <v>417</v>
      </c>
      <c r="B21" t="s">
        <v>418</v>
      </c>
      <c r="C21" s="1" t="s">
        <v>419</v>
      </c>
      <c r="D21" t="s">
        <v>420</v>
      </c>
      <c r="E21" s="1" t="s">
        <v>332</v>
      </c>
      <c r="F21" s="1" t="s">
        <v>332</v>
      </c>
      <c r="G21" s="1" t="s">
        <v>332</v>
      </c>
      <c r="H21" s="1" t="s">
        <v>332</v>
      </c>
      <c r="K21" s="2" t="s">
        <v>421</v>
      </c>
      <c r="L21" t="s">
        <v>237</v>
      </c>
    </row>
    <row r="22" spans="1:14">
      <c r="A22" t="s">
        <v>422</v>
      </c>
      <c r="B22" t="s">
        <v>423</v>
      </c>
      <c r="C22" s="1" t="s">
        <v>423</v>
      </c>
      <c r="D22" t="s">
        <v>422</v>
      </c>
      <c r="E22" s="1" t="s">
        <v>333</v>
      </c>
      <c r="F22" t="s">
        <v>333</v>
      </c>
      <c r="G22" t="s">
        <v>340</v>
      </c>
      <c r="H22" t="s">
        <v>332</v>
      </c>
      <c r="I22" t="s">
        <v>424</v>
      </c>
      <c r="K22" s="2" t="s">
        <v>425</v>
      </c>
      <c r="L22" t="s">
        <v>237</v>
      </c>
      <c r="M22" t="s">
        <v>237</v>
      </c>
      <c r="N22" t="s">
        <v>426</v>
      </c>
    </row>
    <row r="23" spans="1:14">
      <c r="A23" t="s">
        <v>427</v>
      </c>
      <c r="B23" t="s">
        <v>428</v>
      </c>
      <c r="C23" s="1" t="s">
        <v>429</v>
      </c>
      <c r="D23" t="s">
        <v>427</v>
      </c>
      <c r="E23" t="s">
        <v>332</v>
      </c>
      <c r="F23" s="1" t="s">
        <v>333</v>
      </c>
      <c r="G23" t="s">
        <v>332</v>
      </c>
      <c r="H23" t="s">
        <v>332</v>
      </c>
      <c r="I23" t="s">
        <v>430</v>
      </c>
      <c r="K23" s="2" t="s">
        <v>431</v>
      </c>
      <c r="L23" t="s">
        <v>237</v>
      </c>
    </row>
    <row r="24" spans="1:14">
      <c r="A24" t="s">
        <v>432</v>
      </c>
      <c r="B24" t="s">
        <v>433</v>
      </c>
      <c r="C24" s="1" t="s">
        <v>434</v>
      </c>
      <c r="D24" t="s">
        <v>432</v>
      </c>
      <c r="E24" s="1" t="s">
        <v>333</v>
      </c>
      <c r="F24" t="s">
        <v>332</v>
      </c>
      <c r="G24" t="s">
        <v>333</v>
      </c>
      <c r="H24" s="1" t="s">
        <v>333</v>
      </c>
      <c r="K24" s="2" t="s">
        <v>435</v>
      </c>
      <c r="L24" t="s">
        <v>237</v>
      </c>
    </row>
    <row r="25" spans="1:14">
      <c r="B25" t="s">
        <v>436</v>
      </c>
      <c r="C25" s="1" t="s">
        <v>436</v>
      </c>
      <c r="D25" t="s">
        <v>437</v>
      </c>
      <c r="E25" t="s">
        <v>332</v>
      </c>
      <c r="F25" t="s">
        <v>332</v>
      </c>
      <c r="G25" t="s">
        <v>340</v>
      </c>
      <c r="H25" s="1" t="s">
        <v>333</v>
      </c>
      <c r="I25" t="s">
        <v>438</v>
      </c>
      <c r="K25" s="2" t="s">
        <v>439</v>
      </c>
      <c r="L25" t="s">
        <v>237</v>
      </c>
    </row>
    <row r="26" spans="1:14" s="8" customFormat="1">
      <c r="B26" s="8" t="s">
        <v>440</v>
      </c>
      <c r="C26" s="8" t="s">
        <v>440</v>
      </c>
      <c r="D26" s="8" t="s">
        <v>441</v>
      </c>
      <c r="E26" s="8" t="s">
        <v>333</v>
      </c>
      <c r="F26" s="8" t="s">
        <v>347</v>
      </c>
      <c r="G26" s="8" t="s">
        <v>347</v>
      </c>
      <c r="H26" s="8" t="s">
        <v>347</v>
      </c>
      <c r="J26" s="8" t="s">
        <v>76</v>
      </c>
      <c r="K26" s="8" t="s">
        <v>442</v>
      </c>
      <c r="L26" s="8" t="s">
        <v>237</v>
      </c>
      <c r="M26" s="8" t="s">
        <v>237</v>
      </c>
      <c r="N26" s="8" t="s">
        <v>443</v>
      </c>
    </row>
    <row r="27" spans="1:14" s="1" customFormat="1">
      <c r="B27" s="1" t="s">
        <v>444</v>
      </c>
      <c r="J27" s="1" t="s">
        <v>251</v>
      </c>
      <c r="L27" s="1" t="s">
        <v>237</v>
      </c>
      <c r="M27" s="1" t="s">
        <v>237</v>
      </c>
      <c r="N27" s="1" t="s">
        <v>443</v>
      </c>
    </row>
    <row r="28" spans="1:14" s="4" customFormat="1">
      <c r="B28" s="4" t="s">
        <v>445</v>
      </c>
      <c r="J28" s="4" t="s">
        <v>251</v>
      </c>
      <c r="L28" s="4" t="s">
        <v>237</v>
      </c>
      <c r="M28" s="4" t="s">
        <v>237</v>
      </c>
      <c r="N28" s="4" t="s">
        <v>443</v>
      </c>
    </row>
  </sheetData>
  <hyperlinks>
    <hyperlink ref="K11" r:id="rId1" xr:uid="{5E34E746-89D1-4044-81F3-F24816CCFC7D}"/>
    <hyperlink ref="K14" r:id="rId2" xr:uid="{E4ECF456-AB24-4D15-8A7D-3A4A3694CF59}"/>
    <hyperlink ref="K15" r:id="rId3" xr:uid="{ADA58B4E-90D3-414C-B00E-817CE0E8C23E}"/>
    <hyperlink ref="K21" r:id="rId4" xr:uid="{B3DA711A-1C76-432D-9627-B74DF6810C1F}"/>
    <hyperlink ref="K23" r:id="rId5" xr:uid="{9E1F991F-2789-4FE6-8556-AFB0FCDD7034}"/>
    <hyperlink ref="K25" r:id="rId6" xr:uid="{99970D88-BEFE-4259-8A00-6B1D2FED0A28}"/>
    <hyperlink ref="K24" r:id="rId7" xr:uid="{018C9D3F-A6CE-4E1C-836A-16F40F6E2246}"/>
    <hyperlink ref="K17" r:id="rId8" xr:uid="{39C9368F-9698-4937-A0B4-E06D793634C6}"/>
    <hyperlink ref="K10" r:id="rId9" xr:uid="{CC632B6A-CB63-4A49-B116-022ED7CC66E0}"/>
    <hyperlink ref="K8" r:id="rId10" xr:uid="{536F34A7-30B5-427D-B770-3071E73D190E}"/>
    <hyperlink ref="K5" r:id="rId11" xr:uid="{EF2607AD-F2D2-4FF2-BD61-20C3B8B69A29}"/>
    <hyperlink ref="K9" r:id="rId12" xr:uid="{7F1EA036-0AB7-4BC9-9F95-F7AF313DC4F9}"/>
    <hyperlink ref="K18" r:id="rId13" xr:uid="{25474741-99F9-45C7-85A8-59B7DB62152A}"/>
    <hyperlink ref="K20" r:id="rId14" xr:uid="{67F4186B-518A-40A6-A495-80A98D3871B2}"/>
    <hyperlink ref="K22" r:id="rId15" xr:uid="{7D9B7DFE-89A9-49BD-A0E2-CE7E53C93B70}"/>
    <hyperlink ref="D5" r:id="rId16" xr:uid="{D54424F5-AAA2-4DE8-A307-4A7030615EFA}"/>
  </hyperlinks>
  <pageMargins left="0.7" right="0.7" top="0.75" bottom="0.75" header="0.3" footer="0.3"/>
  <pageSetup paperSize="9" orientation="portrait" r:id="rId17"/>
  <tableParts count="1">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0150-E667-4B9D-B55E-C742D1BE2A1B}">
  <dimension ref="A1:I10"/>
  <sheetViews>
    <sheetView workbookViewId="0">
      <selection activeCell="G20" sqref="G20"/>
    </sheetView>
  </sheetViews>
  <sheetFormatPr defaultColWidth="8.85546875" defaultRowHeight="15"/>
  <cols>
    <col min="4" max="4" width="10.140625" bestFit="1" customWidth="1"/>
    <col min="5" max="5" width="15.28515625" bestFit="1" customWidth="1"/>
    <col min="6" max="6" width="11" bestFit="1" customWidth="1"/>
    <col min="7" max="7" width="89.42578125" bestFit="1" customWidth="1"/>
    <col min="8" max="8" width="15" bestFit="1" customWidth="1"/>
    <col min="9" max="9" width="6.7109375" bestFit="1" customWidth="1"/>
  </cols>
  <sheetData>
    <row r="1" spans="1:9" s="9" customFormat="1">
      <c r="A1" s="9" t="s">
        <v>446</v>
      </c>
      <c r="B1" s="9" t="s">
        <v>447</v>
      </c>
      <c r="C1" s="9" t="s">
        <v>448</v>
      </c>
      <c r="D1" s="9" t="s">
        <v>449</v>
      </c>
      <c r="E1" s="9" t="s">
        <v>450</v>
      </c>
      <c r="F1" s="9" t="s">
        <v>451</v>
      </c>
      <c r="G1" s="9" t="s">
        <v>452</v>
      </c>
      <c r="H1" s="9" t="s">
        <v>453</v>
      </c>
      <c r="I1" s="9" t="s">
        <v>454</v>
      </c>
    </row>
    <row r="2" spans="1:9">
      <c r="A2" t="s">
        <v>455</v>
      </c>
      <c r="B2" t="s">
        <v>456</v>
      </c>
      <c r="C2" t="s">
        <v>457</v>
      </c>
      <c r="D2" t="s">
        <v>458</v>
      </c>
      <c r="E2" t="s">
        <v>322</v>
      </c>
      <c r="F2" t="s">
        <v>459</v>
      </c>
      <c r="G2" t="s">
        <v>460</v>
      </c>
      <c r="H2" t="s">
        <v>461</v>
      </c>
      <c r="I2" t="s">
        <v>462</v>
      </c>
    </row>
    <row r="3" spans="1:9">
      <c r="A3" t="s">
        <v>463</v>
      </c>
      <c r="B3" t="s">
        <v>464</v>
      </c>
      <c r="C3" t="s">
        <v>457</v>
      </c>
      <c r="D3" t="s">
        <v>458</v>
      </c>
      <c r="E3" t="s">
        <v>465</v>
      </c>
      <c r="F3" t="s">
        <v>466</v>
      </c>
      <c r="G3" t="s">
        <v>467</v>
      </c>
      <c r="H3" t="s">
        <v>468</v>
      </c>
      <c r="I3" t="s">
        <v>469</v>
      </c>
    </row>
    <row r="4" spans="1:9">
      <c r="A4" t="s">
        <v>470</v>
      </c>
      <c r="B4" t="s">
        <v>471</v>
      </c>
      <c r="C4" t="s">
        <v>472</v>
      </c>
      <c r="D4" t="s">
        <v>458</v>
      </c>
      <c r="E4" t="s">
        <v>322</v>
      </c>
      <c r="F4" t="s">
        <v>459</v>
      </c>
      <c r="G4" t="s">
        <v>473</v>
      </c>
      <c r="H4" t="s">
        <v>474</v>
      </c>
      <c r="I4" t="s">
        <v>462</v>
      </c>
    </row>
    <row r="5" spans="1:9" s="14" customFormat="1">
      <c r="A5" s="14" t="s">
        <v>475</v>
      </c>
      <c r="B5" s="14" t="s">
        <v>124</v>
      </c>
      <c r="C5" s="14" t="s">
        <v>457</v>
      </c>
      <c r="D5" s="14" t="s">
        <v>476</v>
      </c>
      <c r="E5" s="14" t="s">
        <v>477</v>
      </c>
      <c r="F5" s="14" t="s">
        <v>478</v>
      </c>
      <c r="G5" s="14" t="s">
        <v>479</v>
      </c>
      <c r="H5" s="14" t="s">
        <v>468</v>
      </c>
      <c r="I5" s="16" t="s">
        <v>480</v>
      </c>
    </row>
    <row r="6" spans="1:9" ht="19.5">
      <c r="A6" t="s">
        <v>481</v>
      </c>
      <c r="B6" t="s">
        <v>124</v>
      </c>
      <c r="C6" t="s">
        <v>472</v>
      </c>
      <c r="D6" t="s">
        <v>458</v>
      </c>
      <c r="E6" t="s">
        <v>323</v>
      </c>
      <c r="F6" t="s">
        <v>482</v>
      </c>
      <c r="G6" s="12" t="s">
        <v>483</v>
      </c>
      <c r="H6" s="13" t="s">
        <v>484</v>
      </c>
      <c r="I6" t="s">
        <v>462</v>
      </c>
    </row>
    <row r="7" spans="1:9" ht="19.5">
      <c r="A7" t="s">
        <v>485</v>
      </c>
      <c r="B7" t="s">
        <v>486</v>
      </c>
      <c r="C7" t="s">
        <v>472</v>
      </c>
      <c r="D7" t="s">
        <v>487</v>
      </c>
      <c r="E7" t="s">
        <v>465</v>
      </c>
      <c r="F7" t="s">
        <v>14</v>
      </c>
      <c r="G7" s="12" t="s">
        <v>488</v>
      </c>
      <c r="H7" t="s">
        <v>489</v>
      </c>
      <c r="I7" t="s">
        <v>462</v>
      </c>
    </row>
    <row r="8" spans="1:9" s="14" customFormat="1">
      <c r="A8" s="14" t="s">
        <v>204</v>
      </c>
      <c r="B8" s="14" t="s">
        <v>490</v>
      </c>
      <c r="C8" s="14" t="s">
        <v>457</v>
      </c>
      <c r="D8" s="14" t="s">
        <v>458</v>
      </c>
      <c r="E8" s="14" t="s">
        <v>465</v>
      </c>
      <c r="F8" s="14" t="s">
        <v>26</v>
      </c>
      <c r="G8" s="14" t="s">
        <v>491</v>
      </c>
      <c r="H8" s="15" t="s">
        <v>461</v>
      </c>
      <c r="I8" s="14" t="s">
        <v>462</v>
      </c>
    </row>
    <row r="9" spans="1:9" s="14" customFormat="1">
      <c r="A9" s="14" t="s">
        <v>492</v>
      </c>
      <c r="B9" s="14" t="s">
        <v>493</v>
      </c>
      <c r="C9" s="14" t="s">
        <v>494</v>
      </c>
      <c r="D9" s="14" t="s">
        <v>458</v>
      </c>
      <c r="E9" s="14" t="s">
        <v>465</v>
      </c>
      <c r="F9" s="14" t="s">
        <v>26</v>
      </c>
      <c r="G9" s="14" t="s">
        <v>495</v>
      </c>
      <c r="H9" s="14" t="s">
        <v>461</v>
      </c>
      <c r="I9" s="14" t="s">
        <v>462</v>
      </c>
    </row>
    <row r="10" spans="1:9">
      <c r="A10" s="14" t="s">
        <v>496</v>
      </c>
      <c r="B10" s="14" t="s">
        <v>497</v>
      </c>
      <c r="C10" s="14" t="s">
        <v>494</v>
      </c>
      <c r="D10" s="14" t="s">
        <v>458</v>
      </c>
      <c r="E10" s="14" t="s">
        <v>465</v>
      </c>
      <c r="F10" s="14" t="s">
        <v>124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419A8-E194-1249-9D32-14C7E5BB9445}">
  <dimension ref="A1:H17"/>
  <sheetViews>
    <sheetView workbookViewId="0">
      <selection activeCell="L29" sqref="L29"/>
    </sheetView>
  </sheetViews>
  <sheetFormatPr defaultColWidth="11.42578125" defaultRowHeight="15"/>
  <cols>
    <col min="1" max="1" width="29.85546875" customWidth="1"/>
    <col min="7" max="7" width="18.140625" bestFit="1" customWidth="1"/>
    <col min="8" max="8" width="16.28515625" bestFit="1" customWidth="1"/>
  </cols>
  <sheetData>
    <row r="1" spans="1:8" s="9" customFormat="1">
      <c r="A1" s="9" t="s">
        <v>448</v>
      </c>
      <c r="B1" s="9" t="s">
        <v>446</v>
      </c>
      <c r="C1" s="9" t="s">
        <v>447</v>
      </c>
      <c r="D1" s="9" t="s">
        <v>448</v>
      </c>
      <c r="E1" s="9" t="s">
        <v>449</v>
      </c>
      <c r="F1" s="9" t="s">
        <v>450</v>
      </c>
      <c r="G1" s="9" t="s">
        <v>451</v>
      </c>
      <c r="H1" s="9" t="s">
        <v>452</v>
      </c>
    </row>
    <row r="2" spans="1:8">
      <c r="A2">
        <v>2021</v>
      </c>
      <c r="B2" t="s">
        <v>498</v>
      </c>
      <c r="C2" t="s">
        <v>499</v>
      </c>
      <c r="D2" t="s">
        <v>500</v>
      </c>
      <c r="E2" t="s">
        <v>458</v>
      </c>
      <c r="F2" t="s">
        <v>320</v>
      </c>
      <c r="G2" t="s">
        <v>501</v>
      </c>
      <c r="H2" t="s">
        <v>502</v>
      </c>
    </row>
    <row r="3" spans="1:8" ht="19.5">
      <c r="A3">
        <v>2021</v>
      </c>
      <c r="B3" t="s">
        <v>503</v>
      </c>
      <c r="C3" t="s">
        <v>504</v>
      </c>
      <c r="D3" t="s">
        <v>500</v>
      </c>
      <c r="E3" t="s">
        <v>458</v>
      </c>
      <c r="F3" t="s">
        <v>320</v>
      </c>
      <c r="G3" t="s">
        <v>140</v>
      </c>
      <c r="H3" s="11" t="s">
        <v>505</v>
      </c>
    </row>
    <row r="4" spans="1:8" ht="21">
      <c r="A4">
        <v>2021</v>
      </c>
      <c r="B4" t="s">
        <v>506</v>
      </c>
      <c r="C4" t="s">
        <v>507</v>
      </c>
      <c r="D4" t="s">
        <v>500</v>
      </c>
      <c r="E4" t="s">
        <v>458</v>
      </c>
      <c r="F4" t="s">
        <v>320</v>
      </c>
      <c r="G4" t="s">
        <v>140</v>
      </c>
      <c r="H4" s="10" t="s">
        <v>508</v>
      </c>
    </row>
    <row r="10" spans="1:8">
      <c r="A10" s="73"/>
      <c r="B10" s="73"/>
    </row>
    <row r="11" spans="1:8">
      <c r="A11" s="74"/>
      <c r="B11" s="74"/>
    </row>
    <row r="12" spans="1:8">
      <c r="A12" s="74"/>
      <c r="B12" s="74"/>
    </row>
    <row r="13" spans="1:8">
      <c r="A13" s="74"/>
      <c r="B13" s="74"/>
    </row>
    <row r="14" spans="1:8">
      <c r="A14" s="74"/>
      <c r="B14" s="74"/>
    </row>
    <row r="15" spans="1:8">
      <c r="A15" s="74"/>
      <c r="B15" s="74"/>
    </row>
    <row r="16" spans="1:8">
      <c r="A16" s="74"/>
      <c r="B16" s="74"/>
    </row>
    <row r="17" spans="1:2">
      <c r="A17" s="74"/>
      <c r="B17" s="74"/>
    </row>
  </sheetData>
  <phoneticPr fontId="5"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election activeCell="D26" sqref="D26"/>
    </sheetView>
  </sheetViews>
  <sheetFormatPr defaultColWidth="8.85546875" defaultRowHeight="15"/>
  <sheetData>
    <row r="1" spans="1:1">
      <c r="A1" t="s">
        <v>509</v>
      </c>
    </row>
    <row r="2" spans="1:1">
      <c r="A2" t="s">
        <v>510</v>
      </c>
    </row>
    <row r="3" spans="1:1">
      <c r="A3" t="s">
        <v>511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ACF1B9A09472649A409B628089C2277" ma:contentTypeVersion="2" ma:contentTypeDescription="Create a new document." ma:contentTypeScope="" ma:versionID="12cde8c6cd3a04dbe4ad393fa2dfecd2">
  <xsd:schema xmlns:xsd="http://www.w3.org/2001/XMLSchema" xmlns:xs="http://www.w3.org/2001/XMLSchema" xmlns:p="http://schemas.microsoft.com/office/2006/metadata/properties" xmlns:ns2="4bb6345b-005e-46f3-9937-a0b4545fbdd9" targetNamespace="http://schemas.microsoft.com/office/2006/metadata/properties" ma:root="true" ma:fieldsID="76dd656d749cd9c187db4c8c3dc57d41" ns2:_="">
    <xsd:import namespace="4bb6345b-005e-46f3-9937-a0b4545fbdd9"/>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b6345b-005e-46f3-9937-a0b4545fbd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ACCF87D-8B3B-4404-BEA0-BCBE7B32306E}"/>
</file>

<file path=customXml/itemProps2.xml><?xml version="1.0" encoding="utf-8"?>
<ds:datastoreItem xmlns:ds="http://schemas.openxmlformats.org/officeDocument/2006/customXml" ds:itemID="{6156BCCB-98CF-4BC3-B7F7-964B673F8EF3}"/>
</file>

<file path=customXml/itemProps3.xml><?xml version="1.0" encoding="utf-8"?>
<ds:datastoreItem xmlns:ds="http://schemas.openxmlformats.org/officeDocument/2006/customXml" ds:itemID="{13136360-FA86-4B0E-ADD1-E6F5FB8C2EB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2021-09-01T14:04:18Z</dcterms:created>
  <dcterms:modified xsi:type="dcterms:W3CDTF">2026-09-03T18:13:29Z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2018-05-23T11:38:35.3207853Z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y fmtid="{D5CDD505-2E9C-101B-9397-08002B2CF9AE}" pid="10" name="ContentTypeId">
    <vt:lpwstr>0x0101002ACF1B9A09472649A409B628089C2277</vt:lpwstr>
  </property>
</Properties>
</file>